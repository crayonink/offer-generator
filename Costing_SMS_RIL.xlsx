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A\excel_offer_app\"/>
    </mc:Choice>
  </mc:AlternateContent>
  <xr:revisionPtr revIDLastSave="0" documentId="13_ncr:1_{B5A59EFF-88D8-49F9-8D01-D1C99C0B1A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tion" sheetId="7" r:id="rId1"/>
    <sheet name="VLPH-70T" sheetId="1" r:id="rId2"/>
    <sheet name="HLPH - 70T" sheetId="9" r:id="rId3"/>
    <sheet name="HM-VLPH-40T" sheetId="10" r:id="rId4"/>
    <sheet name="Cost Summary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7" l="1"/>
  <c r="I8" i="7"/>
  <c r="I35" i="10"/>
  <c r="I33" i="10"/>
  <c r="I31" i="10"/>
  <c r="I29" i="10"/>
  <c r="I27" i="10"/>
  <c r="I25" i="10"/>
  <c r="I23" i="10"/>
  <c r="I21" i="10"/>
  <c r="I19" i="10"/>
  <c r="I17" i="10"/>
  <c r="I37" i="10" s="1"/>
  <c r="I11" i="10"/>
  <c r="I9" i="10"/>
  <c r="I7" i="10"/>
  <c r="I5" i="10"/>
  <c r="I13" i="10" s="1"/>
  <c r="D9" i="3" s="1"/>
  <c r="E9" i="3" s="1"/>
  <c r="F9" i="3" l="1"/>
  <c r="H9" i="3" s="1"/>
  <c r="G9" i="3"/>
  <c r="I9" i="3" s="1"/>
  <c r="J31" i="9"/>
  <c r="J41" i="9"/>
  <c r="J39" i="9"/>
  <c r="J37" i="9"/>
  <c r="J35" i="9"/>
  <c r="J33" i="9"/>
  <c r="J29" i="9"/>
  <c r="J27" i="9"/>
  <c r="J25" i="9"/>
  <c r="J23" i="9"/>
  <c r="J17" i="9"/>
  <c r="J15" i="9"/>
  <c r="J13" i="9"/>
  <c r="J11" i="9"/>
  <c r="J37" i="1"/>
  <c r="J33" i="1"/>
  <c r="J19" i="9" l="1"/>
  <c r="D8" i="3" s="1"/>
  <c r="E8" i="3" s="1"/>
  <c r="J43" i="9"/>
  <c r="F8" i="3" s="1"/>
  <c r="E8" i="7" l="1"/>
  <c r="C8" i="7"/>
  <c r="C10" i="7" s="1"/>
  <c r="C11" i="7" s="1"/>
  <c r="C12" i="7" s="1"/>
  <c r="C16" i="7" s="1"/>
  <c r="D15" i="7"/>
  <c r="E15" i="7" s="1"/>
  <c r="D8" i="7"/>
  <c r="C13" i="7" l="1"/>
  <c r="C14" i="7" s="1"/>
  <c r="C17" i="7" s="1"/>
  <c r="D6" i="7"/>
  <c r="E10" i="7" s="1"/>
  <c r="E11" i="7" s="1"/>
  <c r="D7" i="7"/>
  <c r="E7" i="7" s="1"/>
  <c r="E12" i="7" l="1"/>
  <c r="E16" i="7" s="1"/>
  <c r="E13" i="7"/>
  <c r="E14" i="7" s="1"/>
  <c r="E19" i="7" s="1"/>
  <c r="E20" i="7" s="1"/>
  <c r="E21" i="7" s="1"/>
  <c r="C18" i="7"/>
  <c r="C19" i="7"/>
  <c r="C20" i="7" s="1"/>
  <c r="C21" i="7" s="1"/>
  <c r="D10" i="7"/>
  <c r="D11" i="7" s="1"/>
  <c r="D12" i="7" s="1"/>
  <c r="D13" i="7" s="1"/>
  <c r="D14" i="7" s="1"/>
  <c r="E17" i="7" l="1"/>
  <c r="E18" i="7"/>
  <c r="D17" i="7"/>
  <c r="D19" i="7"/>
  <c r="D20" i="7" s="1"/>
  <c r="D21" i="7" s="1"/>
  <c r="D18" i="7"/>
  <c r="D16" i="7"/>
  <c r="J39" i="1"/>
  <c r="J23" i="1" l="1"/>
  <c r="J15" i="1" l="1"/>
  <c r="J25" i="1" l="1"/>
  <c r="J27" i="1"/>
  <c r="J29" i="1"/>
  <c r="J31" i="1"/>
  <c r="J35" i="1"/>
  <c r="J41" i="1"/>
  <c r="J43" i="1" l="1"/>
  <c r="F7" i="3" s="1"/>
  <c r="G7" i="3" s="1"/>
  <c r="J13" i="1"/>
  <c r="J17" i="1"/>
  <c r="G8" i="3" l="1"/>
  <c r="J11" i="1"/>
  <c r="H8" i="3" l="1"/>
  <c r="I8" i="3"/>
  <c r="J19" i="1"/>
  <c r="D7" i="3" s="1"/>
  <c r="E7" i="3" s="1"/>
  <c r="I7" i="3" s="1"/>
  <c r="J8" i="3" l="1"/>
  <c r="K8" i="3"/>
  <c r="H7" i="3"/>
  <c r="J9" i="3" l="1"/>
  <c r="K9" i="3"/>
  <c r="J7" i="3"/>
  <c r="K7" i="3"/>
  <c r="L7" i="3" l="1"/>
  <c r="N7" i="3" s="1"/>
  <c r="O7" i="3" s="1"/>
  <c r="L8" i="3"/>
  <c r="N8" i="3" s="1"/>
  <c r="O8" i="3" s="1"/>
  <c r="P7" i="3" l="1"/>
  <c r="L9" i="3"/>
  <c r="N9" i="3" s="1"/>
  <c r="O9" i="3" s="1"/>
  <c r="O10" i="3" s="1"/>
  <c r="N10" i="3" l="1"/>
</calcChain>
</file>

<file path=xl/sharedStrings.xml><?xml version="1.0" encoding="utf-8"?>
<sst xmlns="http://schemas.openxmlformats.org/spreadsheetml/2006/main" count="347" uniqueCount="133">
  <si>
    <t>ENCON THERMAL ENGINEERS PVT. LTD.</t>
  </si>
  <si>
    <t>BROUGHT OUT ITEMS</t>
  </si>
  <si>
    <t>S. No.</t>
  </si>
  <si>
    <t>MEDIA</t>
  </si>
  <si>
    <t>ITEM NAME</t>
  </si>
  <si>
    <t xml:space="preserve">Data Sheet No / Reference </t>
  </si>
  <si>
    <t>QTY.</t>
  </si>
  <si>
    <t>UNIT</t>
  </si>
  <si>
    <t>MAKE</t>
  </si>
  <si>
    <t>BASIC</t>
  </si>
  <si>
    <t>TOTAL</t>
  </si>
  <si>
    <t>COMB AIR</t>
  </si>
  <si>
    <t>COMPENSATOR</t>
  </si>
  <si>
    <t>No.</t>
  </si>
  <si>
    <t>B.D.ENGR</t>
  </si>
  <si>
    <t>RANGE- 0-1600 mBAR</t>
  </si>
  <si>
    <t>H.GURU</t>
  </si>
  <si>
    <t>ENCON</t>
  </si>
  <si>
    <t>MISC ITEMS</t>
  </si>
  <si>
    <t>DATE</t>
  </si>
  <si>
    <t>PREPARED BY</t>
  </si>
  <si>
    <t>APPROVED BY</t>
  </si>
  <si>
    <t>KG</t>
  </si>
  <si>
    <t>FABRICATION</t>
  </si>
  <si>
    <t>BLOWER</t>
  </si>
  <si>
    <t>CERAMIC FIBRE</t>
  </si>
  <si>
    <t>Roll</t>
  </si>
  <si>
    <t>Cost Summary</t>
  </si>
  <si>
    <t>Item Description</t>
  </si>
  <si>
    <t>Inhouse</t>
  </si>
  <si>
    <t>Unit Price</t>
  </si>
  <si>
    <t>Qty</t>
  </si>
  <si>
    <t>NO.</t>
  </si>
  <si>
    <t>INITIAL TEMP: 800C</t>
  </si>
  <si>
    <t>PRESSURE GAUGE  WITH TNV</t>
  </si>
  <si>
    <t>ANCHOR BOLT</t>
  </si>
  <si>
    <t>CONTROL PANEL</t>
  </si>
  <si>
    <t>Bought out Item</t>
  </si>
  <si>
    <t>BOUGHT OUT ITEMS</t>
  </si>
  <si>
    <t>IN HOUSE ITEMS</t>
  </si>
  <si>
    <t>HEATING &amp; PUMPING UNIT</t>
  </si>
  <si>
    <t>BUTTERFLY VALVE</t>
  </si>
  <si>
    <t>L&amp;T</t>
  </si>
  <si>
    <t>Ambient</t>
  </si>
  <si>
    <t>TIME TO ATTAIN THE HEATING TIME - (7-8) HOUR</t>
  </si>
  <si>
    <t>MAXIMUM TEMPERATURE: 1000  Deg C</t>
  </si>
  <si>
    <t>HPD - 6</t>
  </si>
  <si>
    <t>ENCON FILM BURNER - 4A</t>
  </si>
  <si>
    <t>TROLLEY DRIVE MECHANISM</t>
  </si>
  <si>
    <t>SET</t>
  </si>
  <si>
    <t>Cable tray</t>
  </si>
  <si>
    <t xml:space="preserve">SITE LOCATION: </t>
  </si>
  <si>
    <t>REFERENCE :</t>
  </si>
  <si>
    <t>OFFER NO :</t>
  </si>
  <si>
    <t>PIPELINE</t>
  </si>
  <si>
    <t xml:space="preserve"> Burner Size Calculation</t>
  </si>
  <si>
    <t>HLPH</t>
  </si>
  <si>
    <t>Ti</t>
  </si>
  <si>
    <t>C</t>
  </si>
  <si>
    <t>Tf</t>
  </si>
  <si>
    <t xml:space="preserve">Actual Refractory Weight </t>
  </si>
  <si>
    <t>Kgs</t>
  </si>
  <si>
    <t>Average Temperature to be raised</t>
  </si>
  <si>
    <t>Time Taken</t>
  </si>
  <si>
    <t>H</t>
  </si>
  <si>
    <t>Firing rate</t>
  </si>
  <si>
    <t>Calculated Firing Rate</t>
  </si>
  <si>
    <t>Nm3/hr</t>
  </si>
  <si>
    <t>10% Extra firing Rate</t>
  </si>
  <si>
    <t>Mwatt</t>
  </si>
  <si>
    <t>Air Qty</t>
  </si>
  <si>
    <t>CFM</t>
  </si>
  <si>
    <t>Blower Size as per Calculation</t>
  </si>
  <si>
    <t>HP</t>
  </si>
  <si>
    <t>Kg/hr</t>
  </si>
  <si>
    <t>LDO Fuel CV</t>
  </si>
  <si>
    <t>Kcal/Kg</t>
  </si>
  <si>
    <t>Density of LDO</t>
  </si>
  <si>
    <t>Kg/ltr</t>
  </si>
  <si>
    <t>Ltr/hr</t>
  </si>
  <si>
    <t>Ltrs</t>
  </si>
  <si>
    <t>Consumptions in Litres</t>
  </si>
  <si>
    <t>Consumptions in Kgs</t>
  </si>
  <si>
    <t>Burner Capacity</t>
  </si>
  <si>
    <t>VLPH</t>
  </si>
  <si>
    <t>7.5 HP, 40" WC,  1020 Nm3/hr</t>
  </si>
  <si>
    <t>AIR/OIL</t>
  </si>
  <si>
    <t>HYDRAULIC SYSTEM</t>
  </si>
  <si>
    <t>GAS PILOT SYSTEM</t>
  </si>
  <si>
    <t>Cost Price</t>
  </si>
  <si>
    <t>Sell Price</t>
  </si>
  <si>
    <t xml:space="preserve">Designing </t>
  </si>
  <si>
    <t>Negotiation</t>
  </si>
  <si>
    <t>Total Unit Price</t>
  </si>
  <si>
    <t>Total Price Price</t>
  </si>
  <si>
    <t>LDO</t>
  </si>
  <si>
    <t>HM-LPH</t>
  </si>
  <si>
    <t>BILL OF MATERIAL FOR Vertical Steel Ladle Heaters 70T</t>
  </si>
  <si>
    <t>MAXIMUM TEMPERATURE: 1200  Deg C</t>
  </si>
  <si>
    <t>TIME TO ATTAIN THE HEATING TIME - (10-12) HOUR</t>
  </si>
  <si>
    <t>Q = A*V</t>
  </si>
  <si>
    <t xml:space="preserve">Q = </t>
  </si>
  <si>
    <t>FLOW</t>
  </si>
  <si>
    <r>
      <rPr>
        <sz val="12"/>
        <color theme="1"/>
        <rFont val="Calibri"/>
        <family val="2"/>
      </rPr>
      <t>Nm</t>
    </r>
    <r>
      <rPr>
        <sz val="11"/>
        <color theme="1"/>
        <rFont val="Calibri"/>
        <family val="2"/>
      </rPr>
      <t>ᶾ</t>
    </r>
    <r>
      <rPr>
        <sz val="12"/>
        <color theme="1"/>
        <rFont val="Calibri"/>
        <family val="2"/>
      </rPr>
      <t>/hr</t>
    </r>
  </si>
  <si>
    <r>
      <rPr>
        <sz val="12"/>
        <color theme="1"/>
        <rFont val="Calibri"/>
        <family val="2"/>
      </rPr>
      <t xml:space="preserve">A = </t>
    </r>
    <r>
      <rPr>
        <sz val="11"/>
        <color theme="1"/>
        <rFont val="Calibri"/>
        <family val="2"/>
      </rPr>
      <t>πd²/4</t>
    </r>
  </si>
  <si>
    <t xml:space="preserve">AREA </t>
  </si>
  <si>
    <t>m²</t>
  </si>
  <si>
    <t>V=</t>
  </si>
  <si>
    <t>VELOCITY</t>
  </si>
  <si>
    <t>m/s</t>
  </si>
  <si>
    <t>d =</t>
  </si>
  <si>
    <t>Inner Dia</t>
  </si>
  <si>
    <t>mm</t>
  </si>
  <si>
    <t>d=</t>
  </si>
  <si>
    <t>150 NB</t>
  </si>
  <si>
    <t xml:space="preserve">MAIN AIR PIPE SIZE </t>
  </si>
  <si>
    <t xml:space="preserve">MAIN OIL PIPE SIZE </t>
  </si>
  <si>
    <t>50 NB</t>
  </si>
  <si>
    <t>150 NB F 150 #</t>
  </si>
  <si>
    <t>100 NB</t>
  </si>
  <si>
    <t>100 NB F 150 #</t>
  </si>
  <si>
    <t>Vertical Steel Ladle Heater-70T</t>
  </si>
  <si>
    <t>Horizontal Ladle Pre Heater-70T</t>
  </si>
  <si>
    <t>Vertical HM Ladle Preheater-40T</t>
  </si>
  <si>
    <t>5HP</t>
  </si>
  <si>
    <t>7.5 HP</t>
  </si>
  <si>
    <t>JYOTIRMAY RABHA</t>
  </si>
  <si>
    <t>BILL OF MATERIAL FOR HORIZONTAL LADLE PREHEATER-70T</t>
  </si>
  <si>
    <t>HOT METAL LADLE  PREHEATER-40T</t>
  </si>
  <si>
    <t>CLIENT:SMS PROJECT</t>
  </si>
  <si>
    <t>5 HP, 40" WC,  680 Nm3/hr</t>
  </si>
  <si>
    <t>3A</t>
  </si>
  <si>
    <t>HPD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</si>
</sst>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[$-F800]dddd\,\ mmmm\ dd\,\ yyyy"/>
    <numFmt numFmtId="166" formatCode="_-* #,##0.00_-;\-* #,##0.00_-;_-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u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6" fontId="9" fillId="0" borderId="0" applyFont="0" applyFill="0" applyBorder="0" applyAlignment="0" applyProtection="0"/>
    <xf numFmtId="0" fontId="1" fillId="0" borderId="0"/>
  </cellStyleXfs>
  <cellXfs count="17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43" fontId="5" fillId="0" borderId="0" xfId="1" applyFont="1" applyFill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43" fontId="5" fillId="0" borderId="0" xfId="1" applyFont="1" applyFill="1" applyBorder="1" applyAlignment="1">
      <alignment horizontal="left" vertical="center"/>
    </xf>
    <xf numFmtId="43" fontId="7" fillId="0" borderId="0" xfId="1" applyFont="1" applyFill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43" fontId="4" fillId="0" borderId="0" xfId="1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0" borderId="1" xfId="0" applyNumberFormat="1" applyFont="1" applyBorder="1" applyAlignment="1">
      <alignment horizontal="center" vertical="center"/>
    </xf>
    <xf numFmtId="43" fontId="12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43" fontId="13" fillId="0" borderId="0" xfId="0" applyNumberFormat="1" applyFont="1"/>
    <xf numFmtId="43" fontId="0" fillId="0" borderId="0" xfId="1" applyFont="1" applyBorder="1" applyAlignment="1">
      <alignment horizontal="center"/>
    </xf>
    <xf numFmtId="43" fontId="15" fillId="0" borderId="0" xfId="0" applyNumberFormat="1" applyFont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2" applyFont="1" applyAlignment="1">
      <alignment horizontal="left" vertical="center"/>
    </xf>
    <xf numFmtId="18" fontId="5" fillId="0" borderId="0" xfId="2" applyNumberFormat="1" applyAlignment="1">
      <alignment horizontal="left" vertical="center" wrapText="1"/>
    </xf>
    <xf numFmtId="0" fontId="5" fillId="0" borderId="0" xfId="2" applyAlignment="1">
      <alignment horizontal="center" vertical="center"/>
    </xf>
    <xf numFmtId="43" fontId="5" fillId="0" borderId="7" xfId="1" applyFont="1" applyFill="1" applyBorder="1" applyAlignment="1">
      <alignment horizontal="left" vertical="center"/>
    </xf>
    <xf numFmtId="0" fontId="6" fillId="0" borderId="0" xfId="2" applyFont="1" applyAlignment="1">
      <alignment horizontal="left" vertical="top"/>
    </xf>
    <xf numFmtId="0" fontId="5" fillId="0" borderId="0" xfId="2" applyAlignment="1">
      <alignment horizontal="left" vertical="top" wrapText="1"/>
    </xf>
    <xf numFmtId="0" fontId="5" fillId="0" borderId="0" xfId="2" applyAlignment="1">
      <alignment horizontal="center" vertical="top"/>
    </xf>
    <xf numFmtId="43" fontId="5" fillId="0" borderId="7" xfId="1" applyFont="1" applyFill="1" applyBorder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5" fillId="0" borderId="0" xfId="2" applyAlignment="1">
      <alignment horizontal="left" vertical="top"/>
    </xf>
    <xf numFmtId="0" fontId="5" fillId="0" borderId="0" xfId="0" applyFont="1" applyAlignment="1">
      <alignment horizontal="left" vertical="center"/>
    </xf>
    <xf numFmtId="0" fontId="0" fillId="0" borderId="6" xfId="0" applyBorder="1"/>
    <xf numFmtId="0" fontId="4" fillId="0" borderId="0" xfId="0" applyFont="1" applyAlignment="1">
      <alignment horizontal="center" vertical="top" wrapText="1"/>
    </xf>
    <xf numFmtId="43" fontId="4" fillId="2" borderId="7" xfId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center"/>
    </xf>
    <xf numFmtId="43" fontId="5" fillId="0" borderId="9" xfId="1" applyFont="1" applyFill="1" applyBorder="1" applyAlignment="1">
      <alignment horizontal="left" vertical="top"/>
    </xf>
    <xf numFmtId="43" fontId="4" fillId="0" borderId="10" xfId="1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43" fontId="4" fillId="0" borderId="4" xfId="1" applyFont="1" applyFill="1" applyBorder="1" applyAlignment="1">
      <alignment horizontal="center" vertical="center" wrapText="1"/>
    </xf>
    <xf numFmtId="43" fontId="4" fillId="0" borderId="5" xfId="1" applyFont="1" applyFill="1" applyBorder="1" applyAlignment="1">
      <alignment horizontal="center" vertical="center" wrapText="1"/>
    </xf>
    <xf numFmtId="43" fontId="4" fillId="0" borderId="7" xfId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43" fontId="4" fillId="0" borderId="7" xfId="1" applyFont="1" applyFill="1" applyBorder="1" applyAlignment="1">
      <alignment horizontal="left" vertical="top" wrapText="1"/>
    </xf>
    <xf numFmtId="0" fontId="0" fillId="0" borderId="9" xfId="0" applyBorder="1"/>
    <xf numFmtId="0" fontId="9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43" fontId="4" fillId="0" borderId="9" xfId="1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0" fillId="0" borderId="8" xfId="0" applyBorder="1"/>
    <xf numFmtId="0" fontId="16" fillId="0" borderId="0" xfId="0" applyFont="1" applyAlignment="1">
      <alignment vertical="center"/>
    </xf>
    <xf numFmtId="165" fontId="8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left" vertical="top"/>
    </xf>
    <xf numFmtId="0" fontId="0" fillId="0" borderId="4" xfId="0" applyBorder="1"/>
    <xf numFmtId="0" fontId="5" fillId="0" borderId="4" xfId="0" applyFont="1" applyBorder="1" applyAlignment="1">
      <alignment horizontal="center" vertical="top"/>
    </xf>
    <xf numFmtId="43" fontId="5" fillId="0" borderId="4" xfId="1" applyFont="1" applyFill="1" applyBorder="1" applyAlignment="1">
      <alignment horizontal="left" vertical="top"/>
    </xf>
    <xf numFmtId="43" fontId="5" fillId="0" borderId="5" xfId="1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center"/>
    </xf>
    <xf numFmtId="0" fontId="6" fillId="0" borderId="0" xfId="2" applyFont="1" applyAlignment="1">
      <alignment horizontal="left" vertical="top" wrapText="1"/>
    </xf>
    <xf numFmtId="4" fontId="17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166" fontId="18" fillId="0" borderId="11" xfId="3" applyFont="1" applyBorder="1" applyAlignment="1">
      <alignment wrapText="1"/>
    </xf>
    <xf numFmtId="166" fontId="18" fillId="0" borderId="12" xfId="3" applyFont="1" applyBorder="1" applyAlignment="1">
      <alignment horizontal="center" wrapText="1"/>
    </xf>
    <xf numFmtId="166" fontId="18" fillId="0" borderId="1" xfId="3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166" fontId="0" fillId="0" borderId="1" xfId="3" applyFont="1" applyBorder="1" applyAlignment="1">
      <alignment wrapText="1"/>
    </xf>
    <xf numFmtId="166" fontId="0" fillId="0" borderId="1" xfId="3" applyFont="1" applyBorder="1" applyAlignment="1">
      <alignment horizontal="center" wrapText="1"/>
    </xf>
    <xf numFmtId="0" fontId="18" fillId="4" borderId="1" xfId="0" applyFont="1" applyFill="1" applyBorder="1" applyAlignment="1">
      <alignment wrapText="1"/>
    </xf>
    <xf numFmtId="166" fontId="0" fillId="4" borderId="1" xfId="3" applyFont="1" applyFill="1" applyBorder="1" applyAlignment="1">
      <alignment wrapText="1"/>
    </xf>
    <xf numFmtId="9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center" vertical="center"/>
    </xf>
    <xf numFmtId="44" fontId="19" fillId="0" borderId="1" xfId="0" applyNumberFormat="1" applyFont="1" applyBorder="1" applyAlignment="1">
      <alignment horizontal="right" vertical="center"/>
    </xf>
    <xf numFmtId="44" fontId="13" fillId="4" borderId="1" xfId="0" applyNumberFormat="1" applyFont="1" applyFill="1" applyBorder="1"/>
    <xf numFmtId="0" fontId="21" fillId="0" borderId="0" xfId="0" applyFont="1"/>
    <xf numFmtId="43" fontId="20" fillId="0" borderId="7" xfId="1" applyFont="1" applyFill="1" applyBorder="1" applyAlignment="1">
      <alignment horizontal="left" vertical="center"/>
    </xf>
    <xf numFmtId="43" fontId="23" fillId="0" borderId="0" xfId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22" fillId="0" borderId="0" xfId="2" applyFont="1" applyAlignment="1">
      <alignment horizontal="left" vertical="top"/>
    </xf>
    <xf numFmtId="0" fontId="23" fillId="0" borderId="0" xfId="2" applyFont="1" applyAlignment="1">
      <alignment horizontal="left" vertical="top"/>
    </xf>
    <xf numFmtId="0" fontId="23" fillId="0" borderId="0" xfId="2" applyFont="1" applyAlignment="1">
      <alignment horizontal="center" vertical="center"/>
    </xf>
    <xf numFmtId="43" fontId="23" fillId="0" borderId="0" xfId="1" applyFont="1" applyFill="1" applyBorder="1" applyAlignment="1">
      <alignment horizontal="left" vertical="top"/>
    </xf>
    <xf numFmtId="43" fontId="23" fillId="0" borderId="7" xfId="1" applyFont="1" applyFill="1" applyBorder="1" applyAlignment="1">
      <alignment horizontal="left" vertical="top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top"/>
    </xf>
    <xf numFmtId="43" fontId="24" fillId="0" borderId="0" xfId="1" applyFont="1" applyFill="1" applyBorder="1" applyAlignment="1">
      <alignment horizontal="left" vertical="top"/>
    </xf>
    <xf numFmtId="0" fontId="23" fillId="0" borderId="0" xfId="0" applyFont="1" applyAlignment="1">
      <alignment vertical="top"/>
    </xf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43" fontId="22" fillId="0" borderId="7" xfId="1" applyFont="1" applyFill="1" applyBorder="1" applyAlignment="1">
      <alignment horizontal="left" vertical="top" wrapText="1"/>
    </xf>
    <xf numFmtId="0" fontId="25" fillId="0" borderId="6" xfId="0" applyFont="1" applyBorder="1"/>
    <xf numFmtId="43" fontId="22" fillId="0" borderId="0" xfId="1" applyFont="1" applyFill="1" applyBorder="1" applyAlignment="1">
      <alignment horizontal="center" vertical="center"/>
    </xf>
    <xf numFmtId="43" fontId="22" fillId="2" borderId="7" xfId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 vertical="center"/>
    </xf>
    <xf numFmtId="0" fontId="22" fillId="0" borderId="0" xfId="2" applyFont="1" applyAlignment="1">
      <alignment horizontal="left" vertical="center"/>
    </xf>
    <xf numFmtId="18" fontId="23" fillId="0" borderId="0" xfId="2" applyNumberFormat="1" applyFont="1" applyAlignment="1">
      <alignment horizontal="left" vertical="center" wrapText="1"/>
    </xf>
    <xf numFmtId="43" fontId="23" fillId="0" borderId="7" xfId="1" applyFont="1" applyFill="1" applyBorder="1" applyAlignment="1">
      <alignment horizontal="left" vertical="center"/>
    </xf>
    <xf numFmtId="0" fontId="23" fillId="0" borderId="0" xfId="2" applyFont="1" applyAlignment="1">
      <alignment horizontal="left" vertical="top" wrapText="1"/>
    </xf>
    <xf numFmtId="0" fontId="23" fillId="0" borderId="0" xfId="2" applyFont="1" applyAlignment="1">
      <alignment horizontal="center" vertical="top"/>
    </xf>
    <xf numFmtId="0" fontId="22" fillId="0" borderId="0" xfId="0" applyFont="1" applyAlignment="1">
      <alignment horizontal="left" vertical="center"/>
    </xf>
    <xf numFmtId="0" fontId="27" fillId="0" borderId="0" xfId="2" applyFont="1" applyAlignment="1">
      <alignment horizontal="left" vertical="center"/>
    </xf>
    <xf numFmtId="0" fontId="22" fillId="0" borderId="0" xfId="2" applyFont="1" applyAlignment="1">
      <alignment horizontal="left" vertical="top" wrapText="1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top" wrapText="1"/>
    </xf>
    <xf numFmtId="0" fontId="26" fillId="0" borderId="0" xfId="0" applyFont="1" applyAlignment="1">
      <alignment vertical="center"/>
    </xf>
    <xf numFmtId="165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9" fillId="0" borderId="6" xfId="0" applyFont="1" applyBorder="1" applyAlignment="1">
      <alignment vertical="center"/>
    </xf>
    <xf numFmtId="0" fontId="29" fillId="0" borderId="0" xfId="0" applyFont="1" applyAlignment="1">
      <alignment vertical="center"/>
    </xf>
    <xf numFmtId="43" fontId="29" fillId="0" borderId="0" xfId="1" applyFont="1" applyFill="1" applyBorder="1" applyAlignment="1">
      <alignment horizontal="left" vertical="center"/>
    </xf>
    <xf numFmtId="43" fontId="28" fillId="0" borderId="7" xfId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top"/>
    </xf>
    <xf numFmtId="43" fontId="29" fillId="0" borderId="0" xfId="1" applyFont="1" applyFill="1" applyBorder="1" applyAlignment="1">
      <alignment horizontal="left" vertical="top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top"/>
    </xf>
    <xf numFmtId="0" fontId="30" fillId="0" borderId="0" xfId="0" applyFont="1"/>
    <xf numFmtId="0" fontId="30" fillId="0" borderId="8" xfId="0" applyFont="1" applyBorder="1"/>
    <xf numFmtId="0" fontId="30" fillId="0" borderId="9" xfId="0" applyFont="1" applyBorder="1"/>
    <xf numFmtId="0" fontId="30" fillId="0" borderId="9" xfId="0" applyFont="1" applyBorder="1" applyAlignment="1">
      <alignment vertical="center"/>
    </xf>
    <xf numFmtId="0" fontId="29" fillId="0" borderId="9" xfId="0" applyFont="1" applyBorder="1" applyAlignment="1">
      <alignment horizontal="center" vertical="center" wrapText="1"/>
    </xf>
    <xf numFmtId="43" fontId="28" fillId="0" borderId="9" xfId="1" applyFont="1" applyFill="1" applyBorder="1" applyAlignment="1">
      <alignment horizontal="center" vertical="center"/>
    </xf>
    <xf numFmtId="43" fontId="28" fillId="0" borderId="10" xfId="1" applyFont="1" applyFill="1" applyBorder="1" applyAlignment="1">
      <alignment horizontal="left" vertical="center"/>
    </xf>
    <xf numFmtId="0" fontId="29" fillId="0" borderId="3" xfId="0" applyFont="1" applyBorder="1" applyAlignment="1">
      <alignment horizontal="left" vertical="top"/>
    </xf>
    <xf numFmtId="0" fontId="30" fillId="0" borderId="4" xfId="0" applyFont="1" applyBorder="1"/>
    <xf numFmtId="0" fontId="29" fillId="0" borderId="4" xfId="0" applyFont="1" applyBorder="1" applyAlignment="1">
      <alignment horizontal="center" vertical="top"/>
    </xf>
    <xf numFmtId="0" fontId="29" fillId="0" borderId="4" xfId="0" applyFont="1" applyBorder="1" applyAlignment="1">
      <alignment horizontal="center" vertical="center"/>
    </xf>
    <xf numFmtId="43" fontId="29" fillId="0" borderId="4" xfId="1" applyFont="1" applyFill="1" applyBorder="1" applyAlignment="1">
      <alignment horizontal="left" vertical="top"/>
    </xf>
    <xf numFmtId="43" fontId="29" fillId="0" borderId="5" xfId="1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43" fontId="11" fillId="5" borderId="1" xfId="1" applyFont="1" applyFill="1" applyBorder="1" applyAlignment="1">
      <alignment horizontal="center" vertical="center" wrapText="1"/>
    </xf>
    <xf numFmtId="0" fontId="33" fillId="0" borderId="19" xfId="0" applyFont="1" applyBorder="1"/>
    <xf numFmtId="0" fontId="33" fillId="6" borderId="19" xfId="0" applyFont="1" applyFill="1" applyBorder="1"/>
    <xf numFmtId="0" fontId="33" fillId="7" borderId="19" xfId="0" applyFont="1" applyFill="1" applyBorder="1"/>
    <xf numFmtId="0" fontId="0" fillId="0" borderId="1" xfId="0" applyBorder="1" applyAlignment="1">
      <alignment vertical="center"/>
    </xf>
    <xf numFmtId="166" fontId="18" fillId="0" borderId="13" xfId="3" applyFont="1" applyBorder="1" applyAlignment="1">
      <alignment horizontal="center" wrapText="1"/>
    </xf>
    <xf numFmtId="166" fontId="18" fillId="0" borderId="12" xfId="3" applyFont="1" applyBorder="1" applyAlignment="1">
      <alignment horizontal="center" wrapText="1"/>
    </xf>
    <xf numFmtId="0" fontId="31" fillId="0" borderId="16" xfId="0" applyFont="1" applyBorder="1" applyAlignment="1">
      <alignment horizontal="center" vertical="center"/>
    </xf>
    <xf numFmtId="0" fontId="32" fillId="0" borderId="17" xfId="0" applyFont="1" applyBorder="1"/>
    <xf numFmtId="0" fontId="32" fillId="0" borderId="18" xfId="0" applyFont="1" applyBorder="1"/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6" fillId="3" borderId="0" xfId="0" applyFont="1" applyFill="1" applyAlignment="1">
      <alignment horizontal="left" vertical="top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top"/>
    </xf>
    <xf numFmtId="0" fontId="35" fillId="3" borderId="0" xfId="0" applyFont="1" applyFill="1" applyAlignment="1">
      <alignment horizont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</cellXfs>
  <cellStyles count="5">
    <cellStyle name="Comma" xfId="1" builtinId="3"/>
    <cellStyle name="Comma 4" xfId="3" xr:uid="{526873F0-D83B-4F8A-8B5C-B62040D3E177}"/>
    <cellStyle name="Normal" xfId="0" builtinId="0"/>
    <cellStyle name="Normal 3" xfId="4" xr:uid="{48BE54D7-6F64-414D-A0EC-C5C38BF27C35}"/>
    <cellStyle name="Normal_Sheet1" xfId="2" xr:uid="{00000000-0005-0000-0000-000002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2875419</xdr:colOff>
      <xdr:row>0</xdr:row>
      <xdr:rowOff>86456</xdr:rowOff>
    </xdr:from>
    <xdr:to>
      <xdr:col>4</xdr:col>
      <xdr:colOff>772886</xdr:colOff>
      <xdr:row>4</xdr:row>
      <xdr:rowOff>199934</xdr:rowOff>
    </xdr:to>
    <xdr:pic>
      <xdr:nvPicPr>
        <xdr:cNvPr id="2" name="Picture 1" descr="ENCON LOGO.bmp">
          <a:extLst>
            <a:ext uri="{FF2B5EF4-FFF2-40B4-BE49-F238E27FC236}">
              <a16:creationId xmlns:a16="http://schemas.microsoft.com/office/drawing/2014/main" id="{180B48DB-CEF5-430C-B9BB-7C5A15AB53D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57362" y="86456"/>
          <a:ext cx="1141409" cy="1229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2875419</xdr:colOff>
      <xdr:row>0</xdr:row>
      <xdr:rowOff>86456</xdr:rowOff>
    </xdr:from>
    <xdr:to>
      <xdr:col>4</xdr:col>
      <xdr:colOff>772886</xdr:colOff>
      <xdr:row>4</xdr:row>
      <xdr:rowOff>172720</xdr:rowOff>
    </xdr:to>
    <xdr:pic>
      <xdr:nvPicPr>
        <xdr:cNvPr id="2" name="Picture 1" descr="ENCON LOGO.bmp">
          <a:extLst>
            <a:ext uri="{FF2B5EF4-FFF2-40B4-BE49-F238E27FC236}">
              <a16:creationId xmlns:a16="http://schemas.microsoft.com/office/drawing/2014/main" id="{F036D712-0D66-4D2C-A465-43B9B0FE067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1369" y="86456"/>
          <a:ext cx="1205817" cy="1229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2"/>
  <sheetViews>
    <sheetView tabSelected="1" workbookViewId="0">
      <selection activeCell="C10" sqref="C10"/>
    </sheetView>
  </sheetViews>
  <sheetFormatPr defaultColWidth="17" defaultRowHeight="14.4" x14ac:dyDescent="0.3"/>
  <cols>
    <col min="2" max="2" width="37.44140625" customWidth="1"/>
    <col min="3" max="3" width="13" bestFit="1" customWidth="1"/>
  </cols>
  <sheetData>
    <row r="2" spans="2:11" ht="18" x14ac:dyDescent="0.3">
      <c r="B2" s="82" t="s">
        <v>55</v>
      </c>
      <c r="C2" s="157" t="s">
        <v>95</v>
      </c>
      <c r="D2" s="157"/>
      <c r="E2" s="157"/>
      <c r="F2" s="158"/>
      <c r="H2" s="159" t="s">
        <v>116</v>
      </c>
      <c r="I2" s="160"/>
      <c r="J2" s="160"/>
      <c r="K2" s="161"/>
    </row>
    <row r="3" spans="2:11" ht="15.6" x14ac:dyDescent="0.3">
      <c r="B3" s="82"/>
      <c r="C3" s="84" t="s">
        <v>84</v>
      </c>
      <c r="D3" s="84" t="s">
        <v>56</v>
      </c>
      <c r="E3" s="84" t="s">
        <v>96</v>
      </c>
      <c r="F3" s="83"/>
      <c r="H3" s="153" t="s">
        <v>100</v>
      </c>
      <c r="I3" s="153"/>
      <c r="J3" s="153"/>
      <c r="K3" s="153"/>
    </row>
    <row r="4" spans="2:11" ht="15.6" x14ac:dyDescent="0.3">
      <c r="B4" s="85" t="s">
        <v>57</v>
      </c>
      <c r="C4" s="86">
        <v>30</v>
      </c>
      <c r="D4" s="86">
        <v>30</v>
      </c>
      <c r="E4" s="86">
        <v>30</v>
      </c>
      <c r="F4" s="85" t="s">
        <v>58</v>
      </c>
      <c r="H4" s="153" t="s">
        <v>101</v>
      </c>
      <c r="I4" s="153" t="s">
        <v>102</v>
      </c>
      <c r="J4" s="154">
        <v>55</v>
      </c>
      <c r="K4" s="153" t="s">
        <v>103</v>
      </c>
    </row>
    <row r="5" spans="2:11" ht="15.6" x14ac:dyDescent="0.3">
      <c r="B5" s="85" t="s">
        <v>59</v>
      </c>
      <c r="C5" s="86">
        <v>1200</v>
      </c>
      <c r="D5" s="86">
        <v>1200</v>
      </c>
      <c r="E5" s="86">
        <v>1200</v>
      </c>
      <c r="F5" s="85" t="s">
        <v>58</v>
      </c>
      <c r="H5" s="153" t="s">
        <v>104</v>
      </c>
      <c r="I5" s="153" t="s">
        <v>105</v>
      </c>
      <c r="J5" s="153" t="s">
        <v>106</v>
      </c>
      <c r="K5" s="153"/>
    </row>
    <row r="6" spans="2:11" ht="15.6" x14ac:dyDescent="0.3">
      <c r="B6" s="85" t="s">
        <v>60</v>
      </c>
      <c r="C6" s="87">
        <v>20000</v>
      </c>
      <c r="D6" s="87">
        <f>C6</f>
        <v>20000</v>
      </c>
      <c r="E6" s="87">
        <v>10000</v>
      </c>
      <c r="F6" s="85" t="s">
        <v>61</v>
      </c>
      <c r="H6" s="153" t="s">
        <v>107</v>
      </c>
      <c r="I6" s="153" t="s">
        <v>108</v>
      </c>
      <c r="J6" s="154">
        <v>12.7</v>
      </c>
      <c r="K6" s="153" t="s">
        <v>109</v>
      </c>
    </row>
    <row r="7" spans="2:11" ht="15.6" x14ac:dyDescent="0.3">
      <c r="B7" s="85" t="s">
        <v>75</v>
      </c>
      <c r="C7" s="86">
        <v>10000</v>
      </c>
      <c r="D7" s="86">
        <f>C7</f>
        <v>10000</v>
      </c>
      <c r="E7" s="86">
        <f>D7</f>
        <v>10000</v>
      </c>
      <c r="F7" s="85" t="s">
        <v>76</v>
      </c>
      <c r="H7" s="153" t="s">
        <v>110</v>
      </c>
      <c r="I7" s="153" t="s">
        <v>111</v>
      </c>
      <c r="J7" s="153" t="s">
        <v>112</v>
      </c>
      <c r="K7" s="153"/>
    </row>
    <row r="8" spans="2:11" ht="15.6" x14ac:dyDescent="0.3">
      <c r="B8" s="85" t="s">
        <v>62</v>
      </c>
      <c r="C8" s="86">
        <f>((C5-C4)/2)+50</f>
        <v>635</v>
      </c>
      <c r="D8" s="86">
        <f>((D5-D4)/2)+50</f>
        <v>635</v>
      </c>
      <c r="E8" s="86">
        <f>((E5-E4)/2)+50</f>
        <v>635</v>
      </c>
      <c r="F8" s="85" t="s">
        <v>58</v>
      </c>
      <c r="H8" s="155" t="s">
        <v>113</v>
      </c>
      <c r="I8" s="155">
        <f>(SQRT(J4*4/(3.14*J6*3600)))*1000</f>
        <v>39.146542064816614</v>
      </c>
      <c r="J8" s="153" t="s">
        <v>112</v>
      </c>
      <c r="K8" s="153"/>
    </row>
    <row r="9" spans="2:11" ht="15.6" x14ac:dyDescent="0.3">
      <c r="B9" s="85" t="s">
        <v>63</v>
      </c>
      <c r="C9" s="86">
        <v>19</v>
      </c>
      <c r="D9" s="86">
        <v>12</v>
      </c>
      <c r="E9" s="86">
        <v>12</v>
      </c>
      <c r="F9" s="85" t="s">
        <v>64</v>
      </c>
      <c r="H9" s="153"/>
      <c r="I9" s="153" t="s">
        <v>117</v>
      </c>
      <c r="J9" s="153"/>
      <c r="K9" s="153"/>
    </row>
    <row r="10" spans="2:11" ht="15.6" x14ac:dyDescent="0.3">
      <c r="B10" s="85" t="s">
        <v>65</v>
      </c>
      <c r="C10" s="86">
        <f>(C6*0.25*C8)</f>
        <v>3175000</v>
      </c>
      <c r="D10" s="86">
        <f>(D6*0.25*D8)</f>
        <v>3175000</v>
      </c>
      <c r="E10" s="86">
        <f>(E6*0.25*E8)</f>
        <v>1587500</v>
      </c>
      <c r="F10" s="85"/>
    </row>
    <row r="11" spans="2:11" ht="15.6" x14ac:dyDescent="0.3">
      <c r="B11" s="85"/>
      <c r="C11" s="86">
        <f>C10/0.52</f>
        <v>6105769.230769231</v>
      </c>
      <c r="D11" s="86">
        <f>D10/0.52</f>
        <v>6105769.230769231</v>
      </c>
      <c r="E11" s="86">
        <f>E10/0.52</f>
        <v>3052884.6153846155</v>
      </c>
      <c r="F11" s="85"/>
    </row>
    <row r="12" spans="2:11" ht="18" x14ac:dyDescent="0.3">
      <c r="B12" s="88" t="s">
        <v>82</v>
      </c>
      <c r="C12" s="89">
        <f>C11/C7</f>
        <v>610.57692307692309</v>
      </c>
      <c r="D12" s="89">
        <f>D11/D7</f>
        <v>610.57692307692309</v>
      </c>
      <c r="E12" s="89">
        <f>E11/E7</f>
        <v>305.28846153846155</v>
      </c>
      <c r="F12" s="88" t="s">
        <v>61</v>
      </c>
      <c r="H12" s="159" t="s">
        <v>115</v>
      </c>
      <c r="I12" s="160"/>
      <c r="J12" s="160"/>
      <c r="K12" s="161"/>
    </row>
    <row r="13" spans="2:11" ht="15.6" x14ac:dyDescent="0.3">
      <c r="B13" s="85" t="s">
        <v>66</v>
      </c>
      <c r="C13" s="86">
        <f>C12/C9</f>
        <v>32.135627530364374</v>
      </c>
      <c r="D13" s="86">
        <f>D12/D9</f>
        <v>50.881410256410255</v>
      </c>
      <c r="E13" s="86">
        <f>E12/E9</f>
        <v>25.440705128205128</v>
      </c>
      <c r="F13" s="85" t="s">
        <v>74</v>
      </c>
      <c r="H13" s="153" t="s">
        <v>100</v>
      </c>
      <c r="I13" s="153"/>
      <c r="J13" s="153"/>
      <c r="K13" s="153"/>
    </row>
    <row r="14" spans="2:11" ht="15.6" x14ac:dyDescent="0.3">
      <c r="B14" s="85" t="s">
        <v>68</v>
      </c>
      <c r="C14" s="86">
        <f>C13*1.1</f>
        <v>35.349190283400816</v>
      </c>
      <c r="D14" s="86">
        <f>D13*1.1</f>
        <v>55.969551282051285</v>
      </c>
      <c r="E14" s="86">
        <f>E13*1.1</f>
        <v>27.984775641025642</v>
      </c>
      <c r="F14" s="85" t="s">
        <v>67</v>
      </c>
      <c r="G14" t="s">
        <v>131</v>
      </c>
      <c r="H14" s="153" t="s">
        <v>101</v>
      </c>
      <c r="I14" s="153" t="s">
        <v>102</v>
      </c>
      <c r="J14" s="154">
        <v>660</v>
      </c>
      <c r="K14" s="153" t="s">
        <v>103</v>
      </c>
    </row>
    <row r="15" spans="2:11" ht="15.6" x14ac:dyDescent="0.3">
      <c r="B15" s="85" t="s">
        <v>77</v>
      </c>
      <c r="C15" s="86">
        <v>0.85</v>
      </c>
      <c r="D15" s="86">
        <f>C15</f>
        <v>0.85</v>
      </c>
      <c r="E15" s="86">
        <f>D15</f>
        <v>0.85</v>
      </c>
      <c r="F15" s="85" t="s">
        <v>78</v>
      </c>
      <c r="H15" s="153" t="s">
        <v>104</v>
      </c>
      <c r="I15" s="153" t="s">
        <v>105</v>
      </c>
      <c r="J15" s="153" t="s">
        <v>106</v>
      </c>
      <c r="K15" s="153"/>
    </row>
    <row r="16" spans="2:11" ht="15.6" x14ac:dyDescent="0.3">
      <c r="B16" s="88" t="s">
        <v>81</v>
      </c>
      <c r="C16" s="89">
        <f>C12/C15</f>
        <v>718.32579185520365</v>
      </c>
      <c r="D16" s="89">
        <f t="shared" ref="D16:E16" si="0">D12/D15</f>
        <v>718.32579185520365</v>
      </c>
      <c r="E16" s="89">
        <f t="shared" si="0"/>
        <v>359.16289592760182</v>
      </c>
      <c r="F16" s="88" t="s">
        <v>80</v>
      </c>
      <c r="H16" s="153" t="s">
        <v>107</v>
      </c>
      <c r="I16" s="153" t="s">
        <v>108</v>
      </c>
      <c r="J16" s="154">
        <v>15</v>
      </c>
      <c r="K16" s="153" t="s">
        <v>109</v>
      </c>
    </row>
    <row r="17" spans="2:11" ht="15.6" x14ac:dyDescent="0.3">
      <c r="B17" s="85" t="s">
        <v>65</v>
      </c>
      <c r="C17" s="86">
        <f>C14/C15</f>
        <v>41.587282686353902</v>
      </c>
      <c r="D17" s="86">
        <f t="shared" ref="D17:E17" si="1">D14/D15</f>
        <v>65.846530920060331</v>
      </c>
      <c r="E17" s="86">
        <f t="shared" si="1"/>
        <v>32.923265460030166</v>
      </c>
      <c r="F17" s="85" t="s">
        <v>79</v>
      </c>
      <c r="H17" s="153" t="s">
        <v>110</v>
      </c>
      <c r="I17" s="153" t="s">
        <v>111</v>
      </c>
      <c r="J17" s="153" t="s">
        <v>112</v>
      </c>
      <c r="K17" s="153"/>
    </row>
    <row r="18" spans="2:11" ht="15.6" x14ac:dyDescent="0.3">
      <c r="B18" s="85" t="s">
        <v>83</v>
      </c>
      <c r="C18" s="86">
        <f>(C14*C7)/(860*1000)</f>
        <v>0.41103709631861413</v>
      </c>
      <c r="D18" s="86">
        <f>(D14*D7)/(860*1000)</f>
        <v>0.65080873583780563</v>
      </c>
      <c r="E18" s="86">
        <f>(E14*E7)/(860*1000)</f>
        <v>0.32540436791890281</v>
      </c>
      <c r="F18" s="85" t="s">
        <v>69</v>
      </c>
      <c r="H18" s="155" t="s">
        <v>113</v>
      </c>
      <c r="I18" s="155">
        <f>(SQRT(J14*4/(3.14*J16*3600)))*1000</f>
        <v>124.77864335384385</v>
      </c>
      <c r="J18" s="153" t="s">
        <v>112</v>
      </c>
      <c r="K18" s="153"/>
    </row>
    <row r="19" spans="2:11" ht="15.6" x14ac:dyDescent="0.3">
      <c r="B19" s="85" t="s">
        <v>70</v>
      </c>
      <c r="C19" s="86">
        <f>C7*C14*118/100000</f>
        <v>417.12044534412968</v>
      </c>
      <c r="D19" s="86">
        <f>D7*D14*118/100000</f>
        <v>660.4407051282052</v>
      </c>
      <c r="E19" s="86">
        <f>E7*E14*118/100000</f>
        <v>330.2203525641026</v>
      </c>
      <c r="F19" s="85" t="s">
        <v>67</v>
      </c>
      <c r="H19" s="153"/>
      <c r="I19" s="153" t="s">
        <v>114</v>
      </c>
      <c r="J19" s="153"/>
      <c r="K19" s="153"/>
    </row>
    <row r="20" spans="2:11" ht="15.6" x14ac:dyDescent="0.3">
      <c r="B20" s="85"/>
      <c r="C20" s="86">
        <f>C19/1.7</f>
        <v>245.36496784948804</v>
      </c>
      <c r="D20" s="86">
        <f>D19/1.7</f>
        <v>388.49453242835602</v>
      </c>
      <c r="E20" s="86">
        <f>E19/1.7</f>
        <v>194.24726621417801</v>
      </c>
      <c r="F20" s="85" t="s">
        <v>71</v>
      </c>
    </row>
    <row r="21" spans="2:11" ht="15.6" x14ac:dyDescent="0.3">
      <c r="B21" s="85" t="s">
        <v>72</v>
      </c>
      <c r="C21" s="86">
        <f>(C20*40)/3200</f>
        <v>3.0670620981186003</v>
      </c>
      <c r="D21" s="86">
        <f>(D20*40)/3200</f>
        <v>4.8561816553544501</v>
      </c>
      <c r="E21" s="86">
        <f>(E20*40)/3200</f>
        <v>2.4280908276772251</v>
      </c>
      <c r="F21" s="85" t="s">
        <v>73</v>
      </c>
    </row>
    <row r="22" spans="2:11" x14ac:dyDescent="0.3">
      <c r="C22" t="s">
        <v>125</v>
      </c>
      <c r="D22" t="s">
        <v>125</v>
      </c>
      <c r="E22" t="s">
        <v>124</v>
      </c>
    </row>
  </sheetData>
  <mergeCells count="3">
    <mergeCell ref="C2:F2"/>
    <mergeCell ref="H2:K2"/>
    <mergeCell ref="H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6"/>
  <sheetViews>
    <sheetView zoomScale="70" zoomScaleNormal="70" workbookViewId="0">
      <pane ySplit="7" topLeftCell="A23" activePane="bottomLeft" state="frozen"/>
      <selection pane="bottomLeft" activeCell="E17" sqref="E17"/>
    </sheetView>
  </sheetViews>
  <sheetFormatPr defaultRowHeight="14.4" x14ac:dyDescent="0.3"/>
  <cols>
    <col min="1" max="1" width="5.5546875" customWidth="1"/>
    <col min="2" max="2" width="10.109375" customWidth="1"/>
    <col min="3" max="3" width="29.44140625" bestFit="1" customWidth="1"/>
    <col min="4" max="4" width="47.44140625" customWidth="1"/>
    <col min="5" max="5" width="42" bestFit="1" customWidth="1"/>
    <col min="6" max="6" width="9" bestFit="1" customWidth="1"/>
    <col min="7" max="7" width="8.88671875" style="14"/>
    <col min="8" max="8" width="29.109375" bestFit="1" customWidth="1"/>
    <col min="9" max="9" width="14.44140625" customWidth="1"/>
    <col min="10" max="10" width="16" customWidth="1"/>
  </cols>
  <sheetData>
    <row r="2" spans="1:10" ht="30" customHeight="1" x14ac:dyDescent="0.3">
      <c r="A2" s="1"/>
      <c r="B2" s="1"/>
      <c r="C2" s="1"/>
      <c r="D2" s="1"/>
      <c r="E2" s="164" t="s">
        <v>0</v>
      </c>
      <c r="F2" s="164"/>
      <c r="G2" s="164"/>
      <c r="H2" s="164"/>
      <c r="I2" s="164"/>
      <c r="J2" s="164"/>
    </row>
    <row r="3" spans="1:10" ht="15.75" customHeight="1" x14ac:dyDescent="0.3">
      <c r="A3" s="2"/>
      <c r="B3" s="2"/>
      <c r="C3" s="2"/>
      <c r="D3" s="2"/>
      <c r="F3" s="165" t="s">
        <v>1</v>
      </c>
      <c r="G3" s="165"/>
      <c r="H3" s="165"/>
      <c r="I3" s="165"/>
      <c r="J3" s="3"/>
    </row>
    <row r="4" spans="1:10" ht="27.75" customHeight="1" x14ac:dyDescent="0.3">
      <c r="A4" s="166" t="s">
        <v>97</v>
      </c>
      <c r="B4" s="166"/>
      <c r="C4" s="166"/>
      <c r="D4" s="166"/>
      <c r="E4" s="166"/>
      <c r="F4" s="4"/>
      <c r="G4" s="24"/>
      <c r="H4" s="4"/>
      <c r="I4" s="13" t="s">
        <v>53</v>
      </c>
      <c r="J4" s="13"/>
    </row>
    <row r="5" spans="1:10" ht="15.6" x14ac:dyDescent="0.3">
      <c r="A5" s="163" t="s">
        <v>129</v>
      </c>
      <c r="B5" s="163"/>
      <c r="C5" s="163"/>
      <c r="D5" s="163"/>
      <c r="E5" s="163"/>
      <c r="F5" s="4"/>
      <c r="G5" s="24"/>
      <c r="H5" s="4"/>
      <c r="I5" s="13" t="s">
        <v>98</v>
      </c>
      <c r="J5" s="13"/>
    </row>
    <row r="6" spans="1:10" ht="15.6" x14ac:dyDescent="0.3">
      <c r="A6" s="163" t="s">
        <v>51</v>
      </c>
      <c r="B6" s="163"/>
      <c r="C6" s="163"/>
      <c r="D6" s="163"/>
      <c r="E6" s="6"/>
      <c r="F6" s="4"/>
      <c r="G6" s="24"/>
      <c r="H6" s="4"/>
      <c r="I6" s="13" t="s">
        <v>99</v>
      </c>
      <c r="J6" s="13"/>
    </row>
    <row r="7" spans="1:10" ht="15.6" x14ac:dyDescent="0.3">
      <c r="A7" s="163" t="s">
        <v>52</v>
      </c>
      <c r="B7" s="163"/>
      <c r="C7" s="163"/>
      <c r="D7" s="163"/>
      <c r="E7" s="163"/>
      <c r="F7" s="4"/>
      <c r="G7" s="24"/>
      <c r="H7" s="4"/>
      <c r="I7" s="13" t="s">
        <v>33</v>
      </c>
      <c r="J7" s="13" t="s">
        <v>43</v>
      </c>
    </row>
    <row r="8" spans="1:10" ht="9" customHeight="1" thickBot="1" x14ac:dyDescent="0.35">
      <c r="A8" s="163"/>
      <c r="B8" s="163"/>
      <c r="C8" s="163"/>
      <c r="D8" s="163"/>
      <c r="E8" s="163"/>
      <c r="F8" s="163"/>
      <c r="G8" s="163"/>
      <c r="H8" s="163"/>
      <c r="I8" s="7"/>
      <c r="J8" s="7"/>
    </row>
    <row r="9" spans="1:10" ht="23.4" customHeight="1" x14ac:dyDescent="0.3">
      <c r="A9" s="8"/>
      <c r="B9" s="56" t="s">
        <v>2</v>
      </c>
      <c r="C9" s="57" t="s">
        <v>3</v>
      </c>
      <c r="D9" s="58" t="s">
        <v>4</v>
      </c>
      <c r="E9" s="58" t="s">
        <v>5</v>
      </c>
      <c r="F9" s="57" t="s">
        <v>6</v>
      </c>
      <c r="G9" s="57" t="s">
        <v>7</v>
      </c>
      <c r="H9" s="57" t="s">
        <v>8</v>
      </c>
      <c r="I9" s="59" t="s">
        <v>9</v>
      </c>
      <c r="J9" s="60" t="s">
        <v>10</v>
      </c>
    </row>
    <row r="10" spans="1:10" ht="15.6" customHeight="1" x14ac:dyDescent="0.3">
      <c r="A10" s="17"/>
      <c r="B10" s="69"/>
      <c r="C10" s="17"/>
      <c r="D10" s="17"/>
      <c r="E10" s="17"/>
      <c r="F10" s="17"/>
      <c r="G10" s="17"/>
      <c r="H10" s="17"/>
      <c r="I10" s="9"/>
      <c r="J10" s="61"/>
    </row>
    <row r="11" spans="1:10" x14ac:dyDescent="0.3">
      <c r="A11" s="4"/>
      <c r="B11" s="62">
        <v>1</v>
      </c>
      <c r="C11" s="4" t="s">
        <v>11</v>
      </c>
      <c r="D11" s="38" t="s">
        <v>12</v>
      </c>
      <c r="E11" s="44" t="s">
        <v>118</v>
      </c>
      <c r="F11" s="36">
        <v>1</v>
      </c>
      <c r="G11" s="36" t="s">
        <v>13</v>
      </c>
      <c r="H11" s="44" t="s">
        <v>14</v>
      </c>
      <c r="I11" s="7">
        <v>2000</v>
      </c>
      <c r="J11" s="41">
        <f>I11*F11</f>
        <v>2000</v>
      </c>
    </row>
    <row r="12" spans="1:10" x14ac:dyDescent="0.3">
      <c r="A12" s="4"/>
      <c r="B12" s="62"/>
      <c r="C12" s="4"/>
      <c r="D12" s="4"/>
      <c r="E12" s="4"/>
      <c r="F12" s="24"/>
      <c r="G12" s="24"/>
      <c r="H12" s="5"/>
      <c r="I12" s="10"/>
      <c r="J12" s="41"/>
    </row>
    <row r="13" spans="1:10" x14ac:dyDescent="0.3">
      <c r="A13" s="11"/>
      <c r="B13" s="62">
        <v>2</v>
      </c>
      <c r="C13" s="4" t="s">
        <v>11</v>
      </c>
      <c r="D13" s="38" t="s">
        <v>34</v>
      </c>
      <c r="E13" s="44" t="s">
        <v>15</v>
      </c>
      <c r="F13" s="36">
        <v>1</v>
      </c>
      <c r="G13" s="36" t="s">
        <v>13</v>
      </c>
      <c r="H13" s="44" t="s">
        <v>16</v>
      </c>
      <c r="I13" s="7">
        <v>4200</v>
      </c>
      <c r="J13" s="41">
        <f t="shared" ref="J13:J15" si="0">I13*F13</f>
        <v>4200</v>
      </c>
    </row>
    <row r="14" spans="1:10" x14ac:dyDescent="0.3">
      <c r="A14" s="11"/>
      <c r="B14" s="62"/>
      <c r="C14" s="4"/>
      <c r="D14" s="38"/>
      <c r="E14" s="44"/>
      <c r="F14" s="36"/>
      <c r="G14" s="36"/>
      <c r="H14" s="44"/>
      <c r="I14" s="7"/>
      <c r="J14" s="41"/>
    </row>
    <row r="15" spans="1:10" x14ac:dyDescent="0.3">
      <c r="A15" s="11"/>
      <c r="B15" s="62">
        <v>3</v>
      </c>
      <c r="C15" s="4" t="s">
        <v>11</v>
      </c>
      <c r="D15" s="38" t="s">
        <v>41</v>
      </c>
      <c r="E15" s="44" t="s">
        <v>114</v>
      </c>
      <c r="F15" s="36">
        <v>1</v>
      </c>
      <c r="G15" s="36" t="s">
        <v>13</v>
      </c>
      <c r="H15" s="44" t="s">
        <v>42</v>
      </c>
      <c r="I15" s="7">
        <v>11000</v>
      </c>
      <c r="J15" s="41">
        <f t="shared" si="0"/>
        <v>11000</v>
      </c>
    </row>
    <row r="16" spans="1:10" x14ac:dyDescent="0.3">
      <c r="A16" s="4"/>
      <c r="B16" s="62"/>
      <c r="C16" s="4"/>
      <c r="D16" s="38"/>
      <c r="E16" s="44"/>
      <c r="F16" s="36"/>
      <c r="G16" s="24"/>
      <c r="H16" s="44"/>
      <c r="I16" s="7"/>
      <c r="J16" s="41"/>
    </row>
    <row r="17" spans="1:10" x14ac:dyDescent="0.3">
      <c r="A17" s="4"/>
      <c r="B17" s="62">
        <v>4</v>
      </c>
      <c r="C17" s="4" t="s">
        <v>18</v>
      </c>
      <c r="D17" s="38" t="s">
        <v>36</v>
      </c>
      <c r="E17" s="63"/>
      <c r="F17" s="24">
        <v>1</v>
      </c>
      <c r="G17" s="24" t="s">
        <v>32</v>
      </c>
      <c r="H17" s="63" t="s">
        <v>17</v>
      </c>
      <c r="I17" s="7">
        <v>130000</v>
      </c>
      <c r="J17" s="41">
        <f t="shared" ref="J17" si="1">I17*F17</f>
        <v>130000</v>
      </c>
    </row>
    <row r="18" spans="1:10" ht="15.6" x14ac:dyDescent="0.3">
      <c r="A18" s="4"/>
      <c r="B18" s="62"/>
      <c r="G18" s="8"/>
      <c r="I18" s="7"/>
      <c r="J18" s="64"/>
    </row>
    <row r="19" spans="1:10" ht="21" x14ac:dyDescent="0.3">
      <c r="A19" s="4"/>
      <c r="B19" s="46"/>
      <c r="F19" s="162" t="s">
        <v>38</v>
      </c>
      <c r="G19" s="162"/>
      <c r="H19" s="162"/>
      <c r="I19" s="31" t="s">
        <v>10</v>
      </c>
      <c r="J19" s="48">
        <f>SUM(J10:J17)</f>
        <v>147200</v>
      </c>
    </row>
    <row r="20" spans="1:10" ht="24.9" customHeight="1" thickBot="1" x14ac:dyDescent="0.35">
      <c r="A20" s="4"/>
      <c r="B20" s="70"/>
      <c r="C20" s="65"/>
      <c r="D20" s="65"/>
      <c r="E20" s="65"/>
      <c r="F20" s="66"/>
      <c r="G20" s="67"/>
      <c r="H20" s="65"/>
      <c r="I20" s="68"/>
      <c r="J20" s="55"/>
    </row>
    <row r="21" spans="1:10" ht="15" customHeight="1" thickBot="1" x14ac:dyDescent="0.35">
      <c r="A21" s="4"/>
      <c r="B21" s="5"/>
      <c r="F21" s="4"/>
      <c r="G21" s="24"/>
      <c r="H21" s="4"/>
      <c r="I21" s="7"/>
      <c r="J21" s="7"/>
    </row>
    <row r="22" spans="1:10" x14ac:dyDescent="0.3">
      <c r="A22" s="4"/>
      <c r="B22" s="73"/>
      <c r="C22" s="74"/>
      <c r="D22" s="74"/>
      <c r="E22" s="74"/>
      <c r="F22" s="75"/>
      <c r="G22" s="32"/>
      <c r="H22" s="75"/>
      <c r="I22" s="76"/>
      <c r="J22" s="77"/>
    </row>
    <row r="23" spans="1:10" x14ac:dyDescent="0.3">
      <c r="A23" s="4"/>
      <c r="B23" s="33">
        <v>1</v>
      </c>
      <c r="C23" s="24" t="s">
        <v>18</v>
      </c>
      <c r="D23" s="34" t="s">
        <v>47</v>
      </c>
      <c r="E23" s="35"/>
      <c r="F23" s="36">
        <v>1</v>
      </c>
      <c r="G23" s="36" t="s">
        <v>13</v>
      </c>
      <c r="H23" s="36" t="s">
        <v>17</v>
      </c>
      <c r="I23" s="9">
        <v>47000</v>
      </c>
      <c r="J23" s="37">
        <f>I23*F23</f>
        <v>47000</v>
      </c>
    </row>
    <row r="24" spans="1:10" x14ac:dyDescent="0.3">
      <c r="A24" s="4"/>
      <c r="B24" s="33"/>
      <c r="C24" s="24"/>
      <c r="D24" s="34"/>
      <c r="E24" s="35"/>
      <c r="F24" s="36"/>
      <c r="G24" s="36"/>
      <c r="H24" s="36"/>
      <c r="I24" s="9"/>
      <c r="J24" s="37"/>
    </row>
    <row r="25" spans="1:10" x14ac:dyDescent="0.3">
      <c r="A25" s="12"/>
      <c r="B25" s="33">
        <v>2</v>
      </c>
      <c r="C25" s="4" t="s">
        <v>18</v>
      </c>
      <c r="D25" s="38" t="s">
        <v>35</v>
      </c>
      <c r="E25" s="39"/>
      <c r="F25" s="40">
        <v>5</v>
      </c>
      <c r="G25" s="40" t="s">
        <v>22</v>
      </c>
      <c r="H25" s="36" t="s">
        <v>17</v>
      </c>
      <c r="I25" s="7">
        <v>400</v>
      </c>
      <c r="J25" s="37">
        <f t="shared" ref="J25" si="2">I25*F25</f>
        <v>2000</v>
      </c>
    </row>
    <row r="26" spans="1:10" x14ac:dyDescent="0.3">
      <c r="A26" s="4"/>
      <c r="B26" s="33"/>
      <c r="C26" s="24"/>
      <c r="D26" s="42"/>
      <c r="E26" s="24"/>
      <c r="F26" s="24"/>
      <c r="G26" s="24"/>
      <c r="H26" s="24"/>
      <c r="I26" s="9"/>
      <c r="J26" s="37"/>
    </row>
    <row r="27" spans="1:10" x14ac:dyDescent="0.3">
      <c r="B27" s="33">
        <v>3</v>
      </c>
      <c r="C27" s="24" t="s">
        <v>18</v>
      </c>
      <c r="D27" s="34" t="s">
        <v>23</v>
      </c>
      <c r="E27" s="43"/>
      <c r="F27" s="36">
        <v>3000</v>
      </c>
      <c r="G27" s="36" t="s">
        <v>22</v>
      </c>
      <c r="H27" s="36" t="s">
        <v>17</v>
      </c>
      <c r="I27" s="9">
        <v>110</v>
      </c>
      <c r="J27" s="37">
        <f t="shared" ref="J27" si="3">I27*F27</f>
        <v>330000</v>
      </c>
    </row>
    <row r="28" spans="1:10" x14ac:dyDescent="0.3">
      <c r="B28" s="33"/>
      <c r="C28" s="24"/>
      <c r="D28" s="34"/>
      <c r="E28" s="43"/>
      <c r="F28" s="36"/>
      <c r="G28" s="36"/>
      <c r="H28" s="36"/>
      <c r="I28" s="9"/>
      <c r="J28" s="37"/>
    </row>
    <row r="29" spans="1:10" x14ac:dyDescent="0.3">
      <c r="B29" s="33">
        <v>4</v>
      </c>
      <c r="C29" s="24" t="s">
        <v>18</v>
      </c>
      <c r="D29" s="34" t="s">
        <v>40</v>
      </c>
      <c r="E29" s="34" t="s">
        <v>46</v>
      </c>
      <c r="F29" s="36">
        <v>1</v>
      </c>
      <c r="G29" s="36" t="s">
        <v>13</v>
      </c>
      <c r="H29" s="36" t="s">
        <v>17</v>
      </c>
      <c r="I29" s="9">
        <v>116000</v>
      </c>
      <c r="J29" s="37">
        <f t="shared" ref="J29" si="4">I29*F29</f>
        <v>116000</v>
      </c>
    </row>
    <row r="30" spans="1:10" x14ac:dyDescent="0.3">
      <c r="B30" s="33"/>
      <c r="C30" s="24"/>
      <c r="D30" s="34"/>
      <c r="E30" s="34"/>
      <c r="F30" s="36"/>
      <c r="G30" s="36"/>
      <c r="H30" s="36"/>
      <c r="I30" s="9"/>
      <c r="J30" s="37"/>
    </row>
    <row r="31" spans="1:10" x14ac:dyDescent="0.3">
      <c r="B31" s="33">
        <v>5</v>
      </c>
      <c r="C31" s="4" t="s">
        <v>18</v>
      </c>
      <c r="D31" s="79" t="s">
        <v>87</v>
      </c>
      <c r="E31" s="39"/>
      <c r="F31" s="40">
        <v>1</v>
      </c>
      <c r="G31" s="40" t="s">
        <v>13</v>
      </c>
      <c r="H31" s="36" t="s">
        <v>17</v>
      </c>
      <c r="I31" s="9">
        <v>175000</v>
      </c>
      <c r="J31" s="37">
        <f t="shared" ref="J31" si="5">I31*F31</f>
        <v>175000</v>
      </c>
    </row>
    <row r="32" spans="1:10" x14ac:dyDescent="0.3">
      <c r="B32" s="33"/>
      <c r="C32" s="4"/>
      <c r="D32" s="79"/>
      <c r="E32" s="39"/>
      <c r="F32" s="40"/>
      <c r="G32" s="40"/>
      <c r="H32" s="36"/>
      <c r="I32" s="9"/>
      <c r="J32" s="37"/>
    </row>
    <row r="33" spans="2:10" x14ac:dyDescent="0.3">
      <c r="B33" s="33">
        <v>6</v>
      </c>
      <c r="C33" s="4" t="s">
        <v>18</v>
      </c>
      <c r="D33" s="79" t="s">
        <v>88</v>
      </c>
      <c r="E33" s="39"/>
      <c r="F33" s="40">
        <v>1</v>
      </c>
      <c r="G33" s="40" t="s">
        <v>13</v>
      </c>
      <c r="H33" s="36" t="s">
        <v>17</v>
      </c>
      <c r="I33" s="9">
        <v>90000</v>
      </c>
      <c r="J33" s="37">
        <f t="shared" ref="J33" si="6">I33*F33</f>
        <v>90000</v>
      </c>
    </row>
    <row r="34" spans="2:10" x14ac:dyDescent="0.3">
      <c r="B34" s="33"/>
      <c r="C34" s="4"/>
      <c r="D34" s="38"/>
      <c r="E34" s="39"/>
      <c r="F34" s="36"/>
      <c r="G34" s="36"/>
      <c r="H34" s="36"/>
      <c r="I34" s="5"/>
      <c r="J34" s="37"/>
    </row>
    <row r="35" spans="2:10" x14ac:dyDescent="0.3">
      <c r="B35" s="33">
        <v>7</v>
      </c>
      <c r="C35" s="24" t="s">
        <v>11</v>
      </c>
      <c r="D35" s="42" t="s">
        <v>24</v>
      </c>
      <c r="E35" s="42" t="s">
        <v>85</v>
      </c>
      <c r="F35" s="24">
        <v>1</v>
      </c>
      <c r="G35" s="24" t="s">
        <v>13</v>
      </c>
      <c r="H35" s="24" t="s">
        <v>17</v>
      </c>
      <c r="I35" s="9">
        <v>100000</v>
      </c>
      <c r="J35" s="37">
        <f t="shared" ref="J35:J37" si="7">I35*F35</f>
        <v>100000</v>
      </c>
    </row>
    <row r="36" spans="2:10" x14ac:dyDescent="0.3">
      <c r="B36" s="33"/>
      <c r="C36" s="24"/>
      <c r="D36" s="42"/>
      <c r="E36" s="45"/>
      <c r="F36" s="24"/>
      <c r="G36" s="24"/>
      <c r="H36" s="24"/>
      <c r="I36" s="9"/>
      <c r="J36" s="37"/>
    </row>
    <row r="37" spans="2:10" x14ac:dyDescent="0.3">
      <c r="B37" s="33">
        <v>8</v>
      </c>
      <c r="C37" s="24" t="s">
        <v>86</v>
      </c>
      <c r="D37" s="42" t="s">
        <v>54</v>
      </c>
      <c r="E37" s="45"/>
      <c r="F37" s="24">
        <v>1</v>
      </c>
      <c r="G37" s="24" t="s">
        <v>49</v>
      </c>
      <c r="H37" s="24" t="s">
        <v>17</v>
      </c>
      <c r="I37" s="9">
        <v>40000</v>
      </c>
      <c r="J37" s="37">
        <f t="shared" si="7"/>
        <v>40000</v>
      </c>
    </row>
    <row r="38" spans="2:10" x14ac:dyDescent="0.3">
      <c r="B38" s="33"/>
      <c r="C38" s="24"/>
      <c r="D38" s="42"/>
      <c r="E38" s="45"/>
      <c r="F38" s="24"/>
      <c r="G38" s="24"/>
      <c r="H38" s="24"/>
      <c r="I38" s="9"/>
      <c r="J38" s="37"/>
    </row>
    <row r="39" spans="2:10" x14ac:dyDescent="0.3">
      <c r="B39" s="33">
        <v>9</v>
      </c>
      <c r="C39" s="4" t="s">
        <v>18</v>
      </c>
      <c r="D39" s="42" t="s">
        <v>50</v>
      </c>
      <c r="E39" s="45"/>
      <c r="F39" s="24">
        <v>1</v>
      </c>
      <c r="G39" s="24" t="s">
        <v>49</v>
      </c>
      <c r="H39" s="24"/>
      <c r="I39" s="9">
        <v>40000</v>
      </c>
      <c r="J39" s="37">
        <f>I39*F39</f>
        <v>40000</v>
      </c>
    </row>
    <row r="40" spans="2:10" x14ac:dyDescent="0.3">
      <c r="B40" s="33"/>
      <c r="C40" s="24"/>
      <c r="D40" s="42"/>
      <c r="E40" s="45"/>
      <c r="F40" s="24"/>
      <c r="G40" s="24"/>
      <c r="H40" s="24"/>
      <c r="I40" s="9"/>
      <c r="J40" s="37"/>
    </row>
    <row r="41" spans="2:10" x14ac:dyDescent="0.3">
      <c r="B41" s="33">
        <v>10</v>
      </c>
      <c r="C41" s="4" t="s">
        <v>18</v>
      </c>
      <c r="D41" s="38" t="s">
        <v>25</v>
      </c>
      <c r="E41" s="39"/>
      <c r="F41" s="40">
        <v>25</v>
      </c>
      <c r="G41" s="40" t="s">
        <v>26</v>
      </c>
      <c r="H41" s="36" t="s">
        <v>17</v>
      </c>
      <c r="I41" s="7">
        <v>3800</v>
      </c>
      <c r="J41" s="37">
        <f t="shared" ref="J41" si="8">I41*F41</f>
        <v>95000</v>
      </c>
    </row>
    <row r="42" spans="2:10" x14ac:dyDescent="0.3">
      <c r="B42" s="33"/>
      <c r="C42" s="4"/>
      <c r="D42" s="38"/>
      <c r="E42" s="39"/>
      <c r="F42" s="40"/>
      <c r="G42" s="40"/>
      <c r="H42" s="36"/>
      <c r="I42" s="7"/>
      <c r="J42" s="41"/>
    </row>
    <row r="43" spans="2:10" ht="15.6" customHeight="1" x14ac:dyDescent="0.3">
      <c r="B43" s="46"/>
      <c r="C43" s="47" t="s">
        <v>19</v>
      </c>
      <c r="D43" s="47" t="s">
        <v>20</v>
      </c>
      <c r="E43" s="47" t="s">
        <v>21</v>
      </c>
      <c r="G43" s="71"/>
      <c r="H43" s="162" t="s">
        <v>39</v>
      </c>
      <c r="I43" s="71"/>
      <c r="J43" s="48">
        <f>SUM(J21:J42)</f>
        <v>1035000</v>
      </c>
    </row>
    <row r="44" spans="2:10" ht="15.6" customHeight="1" x14ac:dyDescent="0.3">
      <c r="B44" s="46"/>
      <c r="C44" s="72">
        <v>46030</v>
      </c>
      <c r="D44" s="49" t="s">
        <v>126</v>
      </c>
      <c r="E44" s="49"/>
      <c r="F44" s="71"/>
      <c r="G44" s="71"/>
      <c r="H44" s="162"/>
      <c r="I44" s="71"/>
      <c r="J44" s="41"/>
    </row>
    <row r="45" spans="2:10" ht="16.2" thickBot="1" x14ac:dyDescent="0.35">
      <c r="B45" s="50"/>
      <c r="C45" s="51"/>
      <c r="D45" s="52"/>
      <c r="E45" s="52"/>
      <c r="F45" s="52"/>
      <c r="G45" s="52"/>
      <c r="H45" s="53"/>
      <c r="I45" s="54"/>
      <c r="J45" s="55"/>
    </row>
    <row r="46" spans="2:10" x14ac:dyDescent="0.3">
      <c r="D46" s="4"/>
      <c r="E46" s="4"/>
    </row>
  </sheetData>
  <mergeCells count="9">
    <mergeCell ref="F19:H19"/>
    <mergeCell ref="H43:H44"/>
    <mergeCell ref="A7:E7"/>
    <mergeCell ref="A8:H8"/>
    <mergeCell ref="E2:J2"/>
    <mergeCell ref="F3:I3"/>
    <mergeCell ref="A4:E4"/>
    <mergeCell ref="A5:E5"/>
    <mergeCell ref="A6:D6"/>
  </mergeCells>
  <conditionalFormatting sqref="I46:I1048576 I1:I9">
    <cfRule type="top10" dxfId="8" priority="5" rank="5"/>
    <cfRule type="top10" dxfId="7" priority="6" rank="7"/>
    <cfRule type="top10" dxfId="6" priority="23" rank="10"/>
  </conditionalFormatting>
  <pageMargins left="0.06" right="0.06" top="0.75" bottom="0.75" header="0.3" footer="0.3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B172-1AD2-4BF5-8E2C-037D11C1B34F}">
  <dimension ref="A2:J46"/>
  <sheetViews>
    <sheetView topLeftCell="A3" zoomScale="70" zoomScaleNormal="70" workbookViewId="0">
      <selection activeCell="J43" sqref="J43"/>
    </sheetView>
  </sheetViews>
  <sheetFormatPr defaultRowHeight="14.4" x14ac:dyDescent="0.3"/>
  <cols>
    <col min="1" max="1" width="5.5546875" customWidth="1"/>
    <col min="2" max="2" width="10.109375" customWidth="1"/>
    <col min="3" max="3" width="29.44140625" bestFit="1" customWidth="1"/>
    <col min="4" max="4" width="47.44140625" customWidth="1"/>
    <col min="5" max="5" width="42" bestFit="1" customWidth="1"/>
    <col min="6" max="6" width="9" bestFit="1" customWidth="1"/>
    <col min="7" max="7" width="8.6640625" style="14"/>
    <col min="8" max="8" width="29.109375" bestFit="1" customWidth="1"/>
    <col min="9" max="9" width="14.44140625" customWidth="1"/>
    <col min="10" max="10" width="16" customWidth="1"/>
  </cols>
  <sheetData>
    <row r="2" spans="1:10" ht="30" customHeight="1" x14ac:dyDescent="0.3">
      <c r="A2" s="1"/>
      <c r="B2" s="1"/>
      <c r="C2" s="1"/>
      <c r="D2" s="1"/>
      <c r="E2" s="164" t="s">
        <v>0</v>
      </c>
      <c r="F2" s="164"/>
      <c r="G2" s="164"/>
      <c r="H2" s="164"/>
      <c r="I2" s="164"/>
      <c r="J2" s="164"/>
    </row>
    <row r="3" spans="1:10" ht="30" customHeight="1" x14ac:dyDescent="0.3">
      <c r="A3" s="2"/>
      <c r="B3" s="2"/>
      <c r="C3" s="2"/>
      <c r="D3" s="2"/>
      <c r="F3" s="165" t="s">
        <v>1</v>
      </c>
      <c r="G3" s="165"/>
      <c r="H3" s="165"/>
      <c r="I3" s="165"/>
      <c r="J3" s="3"/>
    </row>
    <row r="4" spans="1:10" ht="15.6" x14ac:dyDescent="0.3">
      <c r="A4" s="163" t="s">
        <v>127</v>
      </c>
      <c r="B4" s="163"/>
      <c r="C4" s="163"/>
      <c r="D4" s="163"/>
      <c r="E4" s="163"/>
      <c r="F4" s="4"/>
      <c r="G4" s="24"/>
      <c r="H4" s="4"/>
      <c r="I4" s="13" t="s">
        <v>53</v>
      </c>
      <c r="J4" s="13"/>
    </row>
    <row r="5" spans="1:10" ht="15.6" x14ac:dyDescent="0.3">
      <c r="A5" s="163" t="s">
        <v>129</v>
      </c>
      <c r="B5" s="163"/>
      <c r="C5" s="163"/>
      <c r="D5" s="163"/>
      <c r="E5" s="163"/>
      <c r="F5" s="4"/>
      <c r="G5" s="24"/>
      <c r="H5" s="4"/>
      <c r="I5" s="13" t="s">
        <v>45</v>
      </c>
      <c r="J5" s="13"/>
    </row>
    <row r="6" spans="1:10" ht="15.6" x14ac:dyDescent="0.3">
      <c r="A6" s="163" t="s">
        <v>51</v>
      </c>
      <c r="B6" s="163"/>
      <c r="C6" s="163"/>
      <c r="D6" s="163"/>
      <c r="E6" s="6"/>
      <c r="F6" s="4"/>
      <c r="G6" s="24"/>
      <c r="H6" s="4"/>
      <c r="I6" s="13" t="s">
        <v>44</v>
      </c>
      <c r="J6" s="13"/>
    </row>
    <row r="7" spans="1:10" ht="15.6" x14ac:dyDescent="0.3">
      <c r="A7" s="163" t="s">
        <v>52</v>
      </c>
      <c r="B7" s="163"/>
      <c r="C7" s="163"/>
      <c r="D7" s="163"/>
      <c r="E7" s="163"/>
      <c r="F7" s="4"/>
      <c r="G7" s="24"/>
      <c r="H7" s="4"/>
      <c r="I7" s="13" t="s">
        <v>33</v>
      </c>
      <c r="J7" s="13" t="s">
        <v>43</v>
      </c>
    </row>
    <row r="8" spans="1:10" ht="9" customHeight="1" thickBot="1" x14ac:dyDescent="0.35">
      <c r="A8" s="163"/>
      <c r="B8" s="163"/>
      <c r="C8" s="163"/>
      <c r="D8" s="163"/>
      <c r="E8" s="163"/>
      <c r="F8" s="163"/>
      <c r="G8" s="163"/>
      <c r="H8" s="163"/>
      <c r="I8" s="7"/>
      <c r="J8" s="7"/>
    </row>
    <row r="9" spans="1:10" ht="23.4" customHeight="1" x14ac:dyDescent="0.3">
      <c r="A9" s="8"/>
      <c r="B9" s="56" t="s">
        <v>2</v>
      </c>
      <c r="C9" s="57" t="s">
        <v>3</v>
      </c>
      <c r="D9" s="58" t="s">
        <v>4</v>
      </c>
      <c r="E9" s="58" t="s">
        <v>5</v>
      </c>
      <c r="F9" s="57" t="s">
        <v>6</v>
      </c>
      <c r="G9" s="57" t="s">
        <v>7</v>
      </c>
      <c r="H9" s="57" t="s">
        <v>8</v>
      </c>
      <c r="I9" s="59" t="s">
        <v>9</v>
      </c>
      <c r="J9" s="60" t="s">
        <v>10</v>
      </c>
    </row>
    <row r="10" spans="1:10" ht="15.6" customHeight="1" x14ac:dyDescent="0.3">
      <c r="A10" s="17"/>
      <c r="B10" s="69"/>
      <c r="C10" s="17"/>
      <c r="D10" s="17"/>
      <c r="E10" s="17"/>
      <c r="F10" s="17"/>
      <c r="G10" s="17"/>
      <c r="H10" s="17"/>
      <c r="I10" s="9"/>
      <c r="J10" s="61"/>
    </row>
    <row r="11" spans="1:10" x14ac:dyDescent="0.3">
      <c r="A11" s="4"/>
      <c r="B11" s="62">
        <v>1</v>
      </c>
      <c r="C11" s="4" t="s">
        <v>11</v>
      </c>
      <c r="D11" s="38" t="s">
        <v>12</v>
      </c>
      <c r="E11" s="44" t="s">
        <v>118</v>
      </c>
      <c r="F11" s="36">
        <v>1</v>
      </c>
      <c r="G11" s="36" t="s">
        <v>13</v>
      </c>
      <c r="H11" s="44" t="s">
        <v>14</v>
      </c>
      <c r="I11" s="7">
        <v>2000</v>
      </c>
      <c r="J11" s="41">
        <f>I11*F11</f>
        <v>2000</v>
      </c>
    </row>
    <row r="12" spans="1:10" x14ac:dyDescent="0.3">
      <c r="A12" s="4"/>
      <c r="B12" s="62"/>
      <c r="C12" s="4"/>
      <c r="D12" s="4"/>
      <c r="E12" s="4"/>
      <c r="F12" s="24"/>
      <c r="G12" s="24"/>
      <c r="H12" s="5"/>
      <c r="I12" s="10"/>
      <c r="J12" s="41"/>
    </row>
    <row r="13" spans="1:10" x14ac:dyDescent="0.3">
      <c r="A13" s="11"/>
      <c r="B13" s="62">
        <v>2</v>
      </c>
      <c r="C13" s="4" t="s">
        <v>11</v>
      </c>
      <c r="D13" s="38" t="s">
        <v>34</v>
      </c>
      <c r="E13" s="44" t="s">
        <v>15</v>
      </c>
      <c r="F13" s="36">
        <v>1</v>
      </c>
      <c r="G13" s="36" t="s">
        <v>13</v>
      </c>
      <c r="H13" s="44" t="s">
        <v>16</v>
      </c>
      <c r="I13" s="7">
        <v>4200</v>
      </c>
      <c r="J13" s="41">
        <f t="shared" ref="J13:J15" si="0">I13*F13</f>
        <v>4200</v>
      </c>
    </row>
    <row r="14" spans="1:10" x14ac:dyDescent="0.3">
      <c r="A14" s="11"/>
      <c r="B14" s="62"/>
      <c r="C14" s="4"/>
      <c r="D14" s="38"/>
      <c r="E14" s="44"/>
      <c r="F14" s="36"/>
      <c r="G14" s="36"/>
      <c r="H14" s="44"/>
      <c r="I14" s="7"/>
      <c r="J14" s="41"/>
    </row>
    <row r="15" spans="1:10" x14ac:dyDescent="0.3">
      <c r="A15" s="11"/>
      <c r="B15" s="62">
        <v>3</v>
      </c>
      <c r="C15" s="4" t="s">
        <v>11</v>
      </c>
      <c r="D15" s="38" t="s">
        <v>41</v>
      </c>
      <c r="E15" s="44" t="s">
        <v>114</v>
      </c>
      <c r="F15" s="36">
        <v>1</v>
      </c>
      <c r="G15" s="36" t="s">
        <v>13</v>
      </c>
      <c r="H15" s="44" t="s">
        <v>42</v>
      </c>
      <c r="I15" s="7">
        <v>11000</v>
      </c>
      <c r="J15" s="41">
        <f t="shared" si="0"/>
        <v>11000</v>
      </c>
    </row>
    <row r="16" spans="1:10" x14ac:dyDescent="0.3">
      <c r="A16" s="4"/>
      <c r="B16" s="62"/>
      <c r="C16" s="4"/>
      <c r="D16" s="38"/>
      <c r="E16" s="44"/>
      <c r="F16" s="36"/>
      <c r="G16" s="24"/>
      <c r="H16" s="44"/>
      <c r="I16" s="7"/>
      <c r="J16" s="41"/>
    </row>
    <row r="17" spans="1:10" x14ac:dyDescent="0.3">
      <c r="A17" s="4"/>
      <c r="B17" s="62">
        <v>4</v>
      </c>
      <c r="C17" s="4" t="s">
        <v>18</v>
      </c>
      <c r="D17" s="38" t="s">
        <v>36</v>
      </c>
      <c r="E17" s="63"/>
      <c r="F17" s="24">
        <v>1</v>
      </c>
      <c r="G17" s="24" t="s">
        <v>32</v>
      </c>
      <c r="H17" s="63" t="s">
        <v>17</v>
      </c>
      <c r="I17" s="7">
        <v>130000</v>
      </c>
      <c r="J17" s="41">
        <f t="shared" ref="J17" si="1">I17*F17</f>
        <v>130000</v>
      </c>
    </row>
    <row r="18" spans="1:10" ht="15.6" x14ac:dyDescent="0.3">
      <c r="A18" s="4"/>
      <c r="B18" s="62"/>
      <c r="G18" s="8"/>
      <c r="I18" s="7"/>
      <c r="J18" s="64"/>
    </row>
    <row r="19" spans="1:10" ht="21" x14ac:dyDescent="0.3">
      <c r="A19" s="4"/>
      <c r="B19" s="46"/>
      <c r="F19" s="162" t="s">
        <v>38</v>
      </c>
      <c r="G19" s="162"/>
      <c r="H19" s="162"/>
      <c r="I19" s="31" t="s">
        <v>10</v>
      </c>
      <c r="J19" s="48">
        <f>SUM(J10:J17)</f>
        <v>147200</v>
      </c>
    </row>
    <row r="20" spans="1:10" ht="24.9" customHeight="1" thickBot="1" x14ac:dyDescent="0.35">
      <c r="A20" s="4"/>
      <c r="B20" s="70"/>
      <c r="C20" s="65"/>
      <c r="D20" s="65"/>
      <c r="E20" s="65"/>
      <c r="F20" s="66"/>
      <c r="G20" s="67"/>
      <c r="H20" s="65"/>
      <c r="I20" s="68"/>
      <c r="J20" s="55"/>
    </row>
    <row r="21" spans="1:10" ht="15" customHeight="1" thickBot="1" x14ac:dyDescent="0.35">
      <c r="A21" s="4"/>
      <c r="B21" s="5"/>
      <c r="F21" s="4"/>
      <c r="G21" s="24"/>
      <c r="H21" s="4"/>
      <c r="I21" s="7"/>
      <c r="J21" s="7"/>
    </row>
    <row r="22" spans="1:10" x14ac:dyDescent="0.3">
      <c r="A22" s="4"/>
      <c r="B22" s="73"/>
      <c r="C22" s="74"/>
      <c r="D22" s="74"/>
      <c r="E22" s="74"/>
      <c r="F22" s="75"/>
      <c r="G22" s="32"/>
      <c r="H22" s="75"/>
      <c r="I22" s="76"/>
      <c r="J22" s="77"/>
    </row>
    <row r="23" spans="1:10" x14ac:dyDescent="0.3">
      <c r="A23" s="4"/>
      <c r="B23" s="33">
        <v>1</v>
      </c>
      <c r="C23" s="24" t="s">
        <v>18</v>
      </c>
      <c r="D23" s="34" t="s">
        <v>47</v>
      </c>
      <c r="E23" s="35"/>
      <c r="F23" s="36">
        <v>1</v>
      </c>
      <c r="G23" s="36" t="s">
        <v>13</v>
      </c>
      <c r="H23" s="36" t="s">
        <v>17</v>
      </c>
      <c r="I23" s="9">
        <v>47000</v>
      </c>
      <c r="J23" s="37">
        <f>I23*F23</f>
        <v>47000</v>
      </c>
    </row>
    <row r="24" spans="1:10" x14ac:dyDescent="0.3">
      <c r="A24" s="4"/>
      <c r="B24" s="33"/>
      <c r="C24" s="24"/>
      <c r="D24" s="34"/>
      <c r="E24" s="35"/>
      <c r="F24" s="36"/>
      <c r="G24" s="36"/>
      <c r="H24" s="36"/>
      <c r="I24" s="9"/>
      <c r="J24" s="37"/>
    </row>
    <row r="25" spans="1:10" x14ac:dyDescent="0.3">
      <c r="A25" s="12"/>
      <c r="B25" s="33">
        <v>2</v>
      </c>
      <c r="C25" s="4" t="s">
        <v>18</v>
      </c>
      <c r="D25" s="38" t="s">
        <v>35</v>
      </c>
      <c r="E25" s="39"/>
      <c r="F25" s="40">
        <v>5</v>
      </c>
      <c r="G25" s="40" t="s">
        <v>22</v>
      </c>
      <c r="H25" s="36" t="s">
        <v>17</v>
      </c>
      <c r="I25" s="7">
        <v>400</v>
      </c>
      <c r="J25" s="37">
        <f t="shared" ref="J25" si="2">I25*F25</f>
        <v>2000</v>
      </c>
    </row>
    <row r="26" spans="1:10" x14ac:dyDescent="0.3">
      <c r="A26" s="4"/>
      <c r="B26" s="33"/>
      <c r="C26" s="24"/>
      <c r="D26" s="42"/>
      <c r="E26" s="24"/>
      <c r="F26" s="24"/>
      <c r="G26" s="24"/>
      <c r="H26" s="24"/>
      <c r="I26" s="9"/>
      <c r="J26" s="37"/>
    </row>
    <row r="27" spans="1:10" x14ac:dyDescent="0.3">
      <c r="B27" s="33">
        <v>3</v>
      </c>
      <c r="C27" s="24" t="s">
        <v>18</v>
      </c>
      <c r="D27" s="34" t="s">
        <v>23</v>
      </c>
      <c r="E27" s="43"/>
      <c r="F27" s="36">
        <v>3000</v>
      </c>
      <c r="G27" s="36" t="s">
        <v>22</v>
      </c>
      <c r="H27" s="36" t="s">
        <v>17</v>
      </c>
      <c r="I27" s="9">
        <v>110</v>
      </c>
      <c r="J27" s="37">
        <f t="shared" ref="J27" si="3">I27*F27</f>
        <v>330000</v>
      </c>
    </row>
    <row r="28" spans="1:10" x14ac:dyDescent="0.3">
      <c r="B28" s="33"/>
      <c r="C28" s="24"/>
      <c r="D28" s="34"/>
      <c r="E28" s="43"/>
      <c r="F28" s="36"/>
      <c r="G28" s="36"/>
      <c r="H28" s="36"/>
      <c r="I28" s="9"/>
      <c r="J28" s="37"/>
    </row>
    <row r="29" spans="1:10" x14ac:dyDescent="0.3">
      <c r="B29" s="33">
        <v>4</v>
      </c>
      <c r="C29" s="24" t="s">
        <v>18</v>
      </c>
      <c r="D29" s="34" t="s">
        <v>40</v>
      </c>
      <c r="E29" s="34" t="s">
        <v>46</v>
      </c>
      <c r="F29" s="36">
        <v>1</v>
      </c>
      <c r="G29" s="36" t="s">
        <v>13</v>
      </c>
      <c r="H29" s="36" t="s">
        <v>17</v>
      </c>
      <c r="I29" s="9">
        <v>116000</v>
      </c>
      <c r="J29" s="37">
        <f t="shared" ref="J29" si="4">I29*F29</f>
        <v>116000</v>
      </c>
    </row>
    <row r="30" spans="1:10" x14ac:dyDescent="0.3">
      <c r="B30" s="33"/>
      <c r="C30" s="24"/>
      <c r="D30" s="34"/>
      <c r="E30" s="34"/>
      <c r="F30" s="36"/>
      <c r="G30" s="36"/>
      <c r="H30" s="36"/>
      <c r="I30" s="9"/>
      <c r="J30" s="37"/>
    </row>
    <row r="31" spans="1:10" x14ac:dyDescent="0.3">
      <c r="B31" s="33">
        <v>5</v>
      </c>
      <c r="C31" s="4" t="s">
        <v>18</v>
      </c>
      <c r="D31" s="79" t="s">
        <v>48</v>
      </c>
      <c r="E31" s="39"/>
      <c r="F31" s="40">
        <v>1</v>
      </c>
      <c r="G31" s="40" t="s">
        <v>13</v>
      </c>
      <c r="H31" s="36" t="s">
        <v>17</v>
      </c>
      <c r="I31" s="7">
        <v>200000</v>
      </c>
      <c r="J31" s="37">
        <f t="shared" ref="J31" si="5">I31*F31</f>
        <v>200000</v>
      </c>
    </row>
    <row r="32" spans="1:10" x14ac:dyDescent="0.3">
      <c r="B32" s="33"/>
      <c r="C32" s="4"/>
      <c r="D32" s="79"/>
      <c r="E32" s="39"/>
      <c r="F32" s="40"/>
      <c r="G32" s="40"/>
      <c r="H32" s="36"/>
      <c r="I32" s="9"/>
      <c r="J32" s="37"/>
    </row>
    <row r="33" spans="2:10" x14ac:dyDescent="0.3">
      <c r="B33" s="33">
        <v>6</v>
      </c>
      <c r="C33" s="4" t="s">
        <v>18</v>
      </c>
      <c r="D33" s="79" t="s">
        <v>88</v>
      </c>
      <c r="E33" s="39"/>
      <c r="F33" s="40">
        <v>1</v>
      </c>
      <c r="G33" s="40" t="s">
        <v>13</v>
      </c>
      <c r="H33" s="36" t="s">
        <v>17</v>
      </c>
      <c r="I33" s="9">
        <v>90000</v>
      </c>
      <c r="J33" s="37">
        <f t="shared" ref="J33" si="6">I33*F33</f>
        <v>90000</v>
      </c>
    </row>
    <row r="34" spans="2:10" x14ac:dyDescent="0.3">
      <c r="B34" s="33"/>
      <c r="C34" s="4"/>
      <c r="D34" s="38"/>
      <c r="E34" s="39"/>
      <c r="F34" s="36"/>
      <c r="G34" s="36"/>
      <c r="H34" s="36"/>
      <c r="I34" s="5"/>
      <c r="J34" s="37"/>
    </row>
    <row r="35" spans="2:10" x14ac:dyDescent="0.3">
      <c r="B35" s="33">
        <v>7</v>
      </c>
      <c r="C35" s="24" t="s">
        <v>11</v>
      </c>
      <c r="D35" s="42" t="s">
        <v>24</v>
      </c>
      <c r="E35" s="42" t="s">
        <v>85</v>
      </c>
      <c r="F35" s="24">
        <v>1</v>
      </c>
      <c r="G35" s="24" t="s">
        <v>13</v>
      </c>
      <c r="H35" s="24" t="s">
        <v>17</v>
      </c>
      <c r="I35" s="9">
        <v>100000</v>
      </c>
      <c r="J35" s="37">
        <f t="shared" ref="J35:J37" si="7">I35*F35</f>
        <v>100000</v>
      </c>
    </row>
    <row r="36" spans="2:10" x14ac:dyDescent="0.3">
      <c r="B36" s="33"/>
      <c r="C36" s="24"/>
      <c r="D36" s="42"/>
      <c r="E36" s="45"/>
      <c r="F36" s="24"/>
      <c r="G36" s="24"/>
      <c r="H36" s="24"/>
      <c r="I36" s="9"/>
      <c r="J36" s="37"/>
    </row>
    <row r="37" spans="2:10" x14ac:dyDescent="0.3">
      <c r="B37" s="33">
        <v>8</v>
      </c>
      <c r="C37" s="24" t="s">
        <v>86</v>
      </c>
      <c r="D37" s="42" t="s">
        <v>54</v>
      </c>
      <c r="E37" s="45"/>
      <c r="F37" s="24">
        <v>1</v>
      </c>
      <c r="G37" s="24" t="s">
        <v>49</v>
      </c>
      <c r="H37" s="24" t="s">
        <v>17</v>
      </c>
      <c r="I37" s="9">
        <v>25000</v>
      </c>
      <c r="J37" s="37">
        <f t="shared" si="7"/>
        <v>25000</v>
      </c>
    </row>
    <row r="38" spans="2:10" x14ac:dyDescent="0.3">
      <c r="B38" s="33"/>
      <c r="C38" s="24"/>
      <c r="D38" s="42"/>
      <c r="E38" s="45"/>
      <c r="F38" s="24"/>
      <c r="G38" s="24"/>
      <c r="H38" s="24"/>
      <c r="I38" s="9"/>
      <c r="J38" s="37"/>
    </row>
    <row r="39" spans="2:10" x14ac:dyDescent="0.3">
      <c r="B39" s="33">
        <v>9</v>
      </c>
      <c r="C39" s="4" t="s">
        <v>18</v>
      </c>
      <c r="D39" s="42" t="s">
        <v>50</v>
      </c>
      <c r="E39" s="45"/>
      <c r="F39" s="24">
        <v>1</v>
      </c>
      <c r="G39" s="24" t="s">
        <v>49</v>
      </c>
      <c r="H39" s="24"/>
      <c r="I39" s="9">
        <v>40000</v>
      </c>
      <c r="J39" s="37">
        <f>I39*F39</f>
        <v>40000</v>
      </c>
    </row>
    <row r="40" spans="2:10" x14ac:dyDescent="0.3">
      <c r="B40" s="33"/>
      <c r="C40" s="24"/>
      <c r="D40" s="42"/>
      <c r="E40" s="45"/>
      <c r="F40" s="24"/>
      <c r="G40" s="24"/>
      <c r="H40" s="24"/>
      <c r="I40" s="9"/>
      <c r="J40" s="37"/>
    </row>
    <row r="41" spans="2:10" x14ac:dyDescent="0.3">
      <c r="B41" s="33">
        <v>10</v>
      </c>
      <c r="C41" s="4" t="s">
        <v>18</v>
      </c>
      <c r="D41" s="38" t="s">
        <v>25</v>
      </c>
      <c r="E41" s="39"/>
      <c r="F41" s="40">
        <v>25</v>
      </c>
      <c r="G41" s="40" t="s">
        <v>26</v>
      </c>
      <c r="H41" s="36" t="s">
        <v>17</v>
      </c>
      <c r="I41" s="7">
        <v>3800</v>
      </c>
      <c r="J41" s="37">
        <f t="shared" ref="J41" si="8">I41*F41</f>
        <v>95000</v>
      </c>
    </row>
    <row r="42" spans="2:10" x14ac:dyDescent="0.3">
      <c r="B42" s="33"/>
      <c r="C42" s="4"/>
      <c r="D42" s="38"/>
      <c r="E42" s="39"/>
      <c r="F42" s="40"/>
      <c r="G42" s="40"/>
      <c r="H42" s="36"/>
      <c r="I42" s="7"/>
      <c r="J42" s="41"/>
    </row>
    <row r="43" spans="2:10" ht="15.6" customHeight="1" x14ac:dyDescent="0.3">
      <c r="B43" s="46"/>
      <c r="C43" s="47" t="s">
        <v>19</v>
      </c>
      <c r="D43" s="47" t="s">
        <v>20</v>
      </c>
      <c r="E43" s="47" t="s">
        <v>21</v>
      </c>
      <c r="G43" s="71"/>
      <c r="H43" s="162" t="s">
        <v>39</v>
      </c>
      <c r="I43" s="71"/>
      <c r="J43" s="48">
        <f>SUM(J21:J42)</f>
        <v>1045000</v>
      </c>
    </row>
    <row r="44" spans="2:10" ht="15.6" customHeight="1" x14ac:dyDescent="0.3">
      <c r="B44" s="46"/>
      <c r="C44" s="72">
        <v>45742</v>
      </c>
      <c r="D44" s="49" t="s">
        <v>126</v>
      </c>
      <c r="E44" s="49"/>
      <c r="F44" s="71"/>
      <c r="G44" s="71"/>
      <c r="H44" s="162"/>
      <c r="I44" s="71"/>
      <c r="J44" s="41"/>
    </row>
    <row r="45" spans="2:10" ht="16.2" thickBot="1" x14ac:dyDescent="0.35">
      <c r="B45" s="50"/>
      <c r="C45" s="51"/>
      <c r="D45" s="52"/>
      <c r="E45" s="52"/>
      <c r="F45" s="52"/>
      <c r="G45" s="52"/>
      <c r="H45" s="53"/>
      <c r="I45" s="54"/>
      <c r="J45" s="55"/>
    </row>
    <row r="46" spans="2:10" x14ac:dyDescent="0.3">
      <c r="D46" s="4"/>
      <c r="E46" s="4"/>
    </row>
  </sheetData>
  <mergeCells count="9">
    <mergeCell ref="A8:H8"/>
    <mergeCell ref="F19:H19"/>
    <mergeCell ref="H43:H44"/>
    <mergeCell ref="E2:J2"/>
    <mergeCell ref="F3:I3"/>
    <mergeCell ref="A4:E4"/>
    <mergeCell ref="A5:E5"/>
    <mergeCell ref="A6:D6"/>
    <mergeCell ref="A7:E7"/>
  </mergeCells>
  <conditionalFormatting sqref="I46:I1048576 I1:I9">
    <cfRule type="top10" dxfId="5" priority="1" rank="5"/>
    <cfRule type="top10" dxfId="4" priority="2" rank="7"/>
    <cfRule type="top10" dxfId="3" priority="3" rank="10"/>
  </conditionalFormatting>
  <pageMargins left="0.06" right="0.06" top="0.75" bottom="0.75" header="0.3" footer="0.3"/>
  <pageSetup paperSize="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34B5-7DA6-4E35-A678-B3D8A47C7C35}">
  <dimension ref="A1:I38"/>
  <sheetViews>
    <sheetView workbookViewId="0">
      <selection activeCell="I38" sqref="I38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8.6640625" customWidth="1"/>
    <col min="4" max="4" width="17.44140625" customWidth="1"/>
    <col min="5" max="5" width="8" customWidth="1"/>
    <col min="8" max="9" width="12.44140625" bestFit="1" customWidth="1"/>
  </cols>
  <sheetData>
    <row r="1" spans="1:9" ht="18" x14ac:dyDescent="0.35">
      <c r="B1" s="169" t="s">
        <v>128</v>
      </c>
      <c r="C1" s="169"/>
    </row>
    <row r="3" spans="1:9" s="95" customFormat="1" ht="26.4" x14ac:dyDescent="0.3">
      <c r="A3" s="150" t="s">
        <v>2</v>
      </c>
      <c r="B3" s="150" t="s">
        <v>3</v>
      </c>
      <c r="C3" s="151" t="s">
        <v>4</v>
      </c>
      <c r="D3" s="151" t="s">
        <v>5</v>
      </c>
      <c r="E3" s="150" t="s">
        <v>6</v>
      </c>
      <c r="F3" s="150" t="s">
        <v>7</v>
      </c>
      <c r="G3" s="150" t="s">
        <v>8</v>
      </c>
      <c r="H3" s="152" t="s">
        <v>9</v>
      </c>
      <c r="I3" s="152" t="s">
        <v>10</v>
      </c>
    </row>
    <row r="4" spans="1:9" x14ac:dyDescent="0.3">
      <c r="A4" s="129"/>
      <c r="B4" s="130"/>
      <c r="C4" s="130"/>
      <c r="D4" s="130"/>
      <c r="E4" s="130"/>
      <c r="F4" s="130"/>
      <c r="G4" s="130"/>
      <c r="H4" s="131"/>
      <c r="I4" s="132"/>
    </row>
    <row r="5" spans="1:9" x14ac:dyDescent="0.3">
      <c r="A5" s="98">
        <v>1</v>
      </c>
      <c r="B5" s="99" t="s">
        <v>11</v>
      </c>
      <c r="C5" s="100" t="s">
        <v>12</v>
      </c>
      <c r="D5" s="101" t="s">
        <v>120</v>
      </c>
      <c r="E5" s="102">
        <v>1</v>
      </c>
      <c r="F5" s="102" t="s">
        <v>13</v>
      </c>
      <c r="G5" s="101" t="s">
        <v>14</v>
      </c>
      <c r="H5" s="103">
        <v>2000</v>
      </c>
      <c r="I5" s="104">
        <f>H5*E5</f>
        <v>2000</v>
      </c>
    </row>
    <row r="6" spans="1:9" x14ac:dyDescent="0.3">
      <c r="A6" s="98"/>
      <c r="B6" s="99"/>
      <c r="C6" s="99"/>
      <c r="D6" s="99"/>
      <c r="E6" s="105"/>
      <c r="F6" s="105"/>
      <c r="G6" s="106"/>
      <c r="H6" s="107"/>
      <c r="I6" s="104"/>
    </row>
    <row r="7" spans="1:9" x14ac:dyDescent="0.3">
      <c r="A7" s="98">
        <v>2</v>
      </c>
      <c r="B7" s="99" t="s">
        <v>11</v>
      </c>
      <c r="C7" s="100" t="s">
        <v>34</v>
      </c>
      <c r="D7" s="101" t="s">
        <v>15</v>
      </c>
      <c r="E7" s="102">
        <v>1</v>
      </c>
      <c r="F7" s="102" t="s">
        <v>13</v>
      </c>
      <c r="G7" s="101" t="s">
        <v>16</v>
      </c>
      <c r="H7" s="103">
        <v>4200</v>
      </c>
      <c r="I7" s="104">
        <f t="shared" ref="I7:I9" si="0">H7*E7</f>
        <v>4200</v>
      </c>
    </row>
    <row r="8" spans="1:9" x14ac:dyDescent="0.3">
      <c r="A8" s="98"/>
      <c r="B8" s="99"/>
      <c r="C8" s="100"/>
      <c r="D8" s="101"/>
      <c r="E8" s="102"/>
      <c r="F8" s="102"/>
      <c r="G8" s="101"/>
      <c r="H8" s="103"/>
      <c r="I8" s="104"/>
    </row>
    <row r="9" spans="1:9" x14ac:dyDescent="0.3">
      <c r="A9" s="98">
        <v>3</v>
      </c>
      <c r="B9" s="99" t="s">
        <v>11</v>
      </c>
      <c r="C9" s="100" t="s">
        <v>41</v>
      </c>
      <c r="D9" s="101" t="s">
        <v>119</v>
      </c>
      <c r="E9" s="102">
        <v>1</v>
      </c>
      <c r="F9" s="102" t="s">
        <v>13</v>
      </c>
      <c r="G9" s="101" t="s">
        <v>42</v>
      </c>
      <c r="H9" s="103">
        <v>11000</v>
      </c>
      <c r="I9" s="104">
        <f t="shared" si="0"/>
        <v>11000</v>
      </c>
    </row>
    <row r="10" spans="1:9" x14ac:dyDescent="0.3">
      <c r="A10" s="98"/>
      <c r="B10" s="99"/>
      <c r="C10" s="100"/>
      <c r="D10" s="101"/>
      <c r="E10" s="102"/>
      <c r="F10" s="105"/>
      <c r="G10" s="101"/>
      <c r="H10" s="103"/>
      <c r="I10" s="104"/>
    </row>
    <row r="11" spans="1:9" x14ac:dyDescent="0.3">
      <c r="A11" s="98">
        <v>4</v>
      </c>
      <c r="B11" s="99" t="s">
        <v>18</v>
      </c>
      <c r="C11" s="100" t="s">
        <v>36</v>
      </c>
      <c r="D11" s="108"/>
      <c r="E11" s="105">
        <v>1</v>
      </c>
      <c r="F11" s="105" t="s">
        <v>32</v>
      </c>
      <c r="G11" s="108" t="s">
        <v>17</v>
      </c>
      <c r="H11" s="103">
        <v>130000</v>
      </c>
      <c r="I11" s="104">
        <f t="shared" ref="I11" si="1">H11*E11</f>
        <v>130000</v>
      </c>
    </row>
    <row r="12" spans="1:9" x14ac:dyDescent="0.3">
      <c r="A12" s="98"/>
      <c r="B12" s="109"/>
      <c r="C12" s="109"/>
      <c r="D12" s="109"/>
      <c r="E12" s="109"/>
      <c r="F12" s="110"/>
      <c r="G12" s="109"/>
      <c r="H12" s="103"/>
      <c r="I12" s="111"/>
    </row>
    <row r="13" spans="1:9" x14ac:dyDescent="0.3">
      <c r="A13" s="112"/>
      <c r="B13" s="109"/>
      <c r="C13" s="109"/>
      <c r="D13" s="109"/>
      <c r="E13" s="167" t="s">
        <v>38</v>
      </c>
      <c r="F13" s="167"/>
      <c r="G13" s="167"/>
      <c r="H13" s="113" t="s">
        <v>10</v>
      </c>
      <c r="I13" s="114">
        <f>SUM(I4:I11)</f>
        <v>147200</v>
      </c>
    </row>
    <row r="14" spans="1:9" ht="15" thickBot="1" x14ac:dyDescent="0.35">
      <c r="A14" s="138"/>
      <c r="B14" s="139"/>
      <c r="C14" s="139"/>
      <c r="D14" s="139"/>
      <c r="E14" s="140"/>
      <c r="F14" s="141"/>
      <c r="G14" s="139"/>
      <c r="H14" s="142"/>
      <c r="I14" s="143"/>
    </row>
    <row r="15" spans="1:9" ht="15" thickBot="1" x14ac:dyDescent="0.35">
      <c r="A15" s="136"/>
      <c r="B15" s="137"/>
      <c r="C15" s="137"/>
      <c r="D15" s="137"/>
      <c r="E15" s="133"/>
      <c r="F15" s="135"/>
      <c r="G15" s="133"/>
      <c r="H15" s="134"/>
      <c r="I15" s="134"/>
    </row>
    <row r="16" spans="1:9" x14ac:dyDescent="0.3">
      <c r="A16" s="144"/>
      <c r="B16" s="145"/>
      <c r="C16" s="145"/>
      <c r="D16" s="145"/>
      <c r="E16" s="146"/>
      <c r="F16" s="147"/>
      <c r="G16" s="146"/>
      <c r="H16" s="148"/>
      <c r="I16" s="149"/>
    </row>
    <row r="17" spans="1:9" x14ac:dyDescent="0.3">
      <c r="A17" s="115">
        <v>1</v>
      </c>
      <c r="B17" s="105" t="s">
        <v>18</v>
      </c>
      <c r="C17" s="116" t="s">
        <v>47</v>
      </c>
      <c r="D17" s="117"/>
      <c r="E17" s="102">
        <v>1</v>
      </c>
      <c r="F17" s="102" t="s">
        <v>13</v>
      </c>
      <c r="G17" s="102" t="s">
        <v>17</v>
      </c>
      <c r="H17" s="97">
        <v>47000</v>
      </c>
      <c r="I17" s="118">
        <f>H17*E17</f>
        <v>47000</v>
      </c>
    </row>
    <row r="18" spans="1:9" x14ac:dyDescent="0.3">
      <c r="A18" s="115"/>
      <c r="B18" s="105"/>
      <c r="C18" s="116"/>
      <c r="D18" s="117"/>
      <c r="E18" s="102"/>
      <c r="F18" s="102"/>
      <c r="G18" s="102"/>
      <c r="H18" s="97"/>
      <c r="I18" s="118"/>
    </row>
    <row r="19" spans="1:9" x14ac:dyDescent="0.3">
      <c r="A19" s="115">
        <v>2</v>
      </c>
      <c r="B19" s="99" t="s">
        <v>18</v>
      </c>
      <c r="C19" s="100" t="s">
        <v>35</v>
      </c>
      <c r="D19" s="119"/>
      <c r="E19" s="120">
        <v>5</v>
      </c>
      <c r="F19" s="120" t="s">
        <v>22</v>
      </c>
      <c r="G19" s="102" t="s">
        <v>17</v>
      </c>
      <c r="H19" s="103">
        <v>400</v>
      </c>
      <c r="I19" s="118">
        <f t="shared" ref="I19" si="2">H19*E19</f>
        <v>2000</v>
      </c>
    </row>
    <row r="20" spans="1:9" x14ac:dyDescent="0.3">
      <c r="A20" s="115"/>
      <c r="B20" s="105"/>
      <c r="C20" s="121"/>
      <c r="D20" s="105"/>
      <c r="E20" s="105"/>
      <c r="F20" s="105"/>
      <c r="G20" s="105"/>
      <c r="H20" s="97"/>
      <c r="I20" s="118"/>
    </row>
    <row r="21" spans="1:9" x14ac:dyDescent="0.3">
      <c r="A21" s="115">
        <v>3</v>
      </c>
      <c r="B21" s="105" t="s">
        <v>18</v>
      </c>
      <c r="C21" s="116" t="s">
        <v>23</v>
      </c>
      <c r="D21" s="122"/>
      <c r="E21" s="102">
        <v>2500</v>
      </c>
      <c r="F21" s="102" t="s">
        <v>22</v>
      </c>
      <c r="G21" s="102" t="s">
        <v>17</v>
      </c>
      <c r="H21" s="97">
        <v>110</v>
      </c>
      <c r="I21" s="118">
        <f t="shared" ref="I21" si="3">H21*E21</f>
        <v>275000</v>
      </c>
    </row>
    <row r="22" spans="1:9" x14ac:dyDescent="0.3">
      <c r="A22" s="115"/>
      <c r="B22" s="105"/>
      <c r="C22" s="116"/>
      <c r="D22" s="122"/>
      <c r="E22" s="102"/>
      <c r="F22" s="102"/>
      <c r="G22" s="102"/>
      <c r="H22" s="97"/>
      <c r="I22" s="118"/>
    </row>
    <row r="23" spans="1:9" x14ac:dyDescent="0.3">
      <c r="A23" s="115">
        <v>4</v>
      </c>
      <c r="B23" s="105" t="s">
        <v>18</v>
      </c>
      <c r="C23" s="116" t="s">
        <v>40</v>
      </c>
      <c r="D23" s="116" t="s">
        <v>132</v>
      </c>
      <c r="E23" s="102">
        <v>1</v>
      </c>
      <c r="F23" s="102" t="s">
        <v>13</v>
      </c>
      <c r="G23" s="102" t="s">
        <v>17</v>
      </c>
      <c r="H23" s="97">
        <v>112000</v>
      </c>
      <c r="I23" s="118">
        <f t="shared" ref="I23" si="4">H23*E23</f>
        <v>112000</v>
      </c>
    </row>
    <row r="24" spans="1:9" x14ac:dyDescent="0.3">
      <c r="A24" s="115"/>
      <c r="B24" s="105"/>
      <c r="C24" s="116"/>
      <c r="D24" s="116"/>
      <c r="E24" s="102"/>
      <c r="F24" s="102"/>
      <c r="G24" s="102"/>
      <c r="H24" s="97"/>
      <c r="I24" s="118"/>
    </row>
    <row r="25" spans="1:9" x14ac:dyDescent="0.3">
      <c r="A25" s="115">
        <v>5</v>
      </c>
      <c r="B25" s="99" t="s">
        <v>18</v>
      </c>
      <c r="C25" s="123" t="s">
        <v>87</v>
      </c>
      <c r="D25" s="119"/>
      <c r="E25" s="120">
        <v>1</v>
      </c>
      <c r="F25" s="120" t="s">
        <v>13</v>
      </c>
      <c r="G25" s="102" t="s">
        <v>17</v>
      </c>
      <c r="H25" s="97">
        <v>175000</v>
      </c>
      <c r="I25" s="118">
        <f t="shared" ref="I25" si="5">H25*E25</f>
        <v>175000</v>
      </c>
    </row>
    <row r="26" spans="1:9" x14ac:dyDescent="0.3">
      <c r="A26" s="115"/>
      <c r="B26" s="99"/>
      <c r="C26" s="123"/>
      <c r="D26" s="119"/>
      <c r="E26" s="120"/>
      <c r="F26" s="120"/>
      <c r="G26" s="102"/>
      <c r="H26" s="97"/>
      <c r="I26" s="118"/>
    </row>
    <row r="27" spans="1:9" ht="24" customHeight="1" x14ac:dyDescent="0.3">
      <c r="A27" s="115">
        <v>6</v>
      </c>
      <c r="B27" s="99" t="s">
        <v>18</v>
      </c>
      <c r="C27" s="123" t="s">
        <v>88</v>
      </c>
      <c r="D27" s="119"/>
      <c r="E27" s="120">
        <v>1</v>
      </c>
      <c r="F27" s="120" t="s">
        <v>13</v>
      </c>
      <c r="G27" s="102" t="s">
        <v>17</v>
      </c>
      <c r="H27" s="97">
        <v>90000</v>
      </c>
      <c r="I27" s="118">
        <f t="shared" ref="I27" si="6">H27*E27</f>
        <v>90000</v>
      </c>
    </row>
    <row r="28" spans="1:9" x14ac:dyDescent="0.3">
      <c r="A28" s="115"/>
      <c r="B28" s="99"/>
      <c r="C28" s="100"/>
      <c r="D28" s="119"/>
      <c r="E28" s="102"/>
      <c r="F28" s="102"/>
      <c r="G28" s="102"/>
      <c r="H28" s="106"/>
      <c r="I28" s="118"/>
    </row>
    <row r="29" spans="1:9" x14ac:dyDescent="0.3">
      <c r="A29" s="115">
        <v>7</v>
      </c>
      <c r="B29" s="105" t="s">
        <v>11</v>
      </c>
      <c r="C29" s="121" t="s">
        <v>24</v>
      </c>
      <c r="D29" s="121" t="s">
        <v>130</v>
      </c>
      <c r="E29" s="105">
        <v>1</v>
      </c>
      <c r="F29" s="105" t="s">
        <v>13</v>
      </c>
      <c r="G29" s="105" t="s">
        <v>17</v>
      </c>
      <c r="H29" s="97">
        <v>81000</v>
      </c>
      <c r="I29" s="118">
        <f t="shared" ref="I29:I31" si="7">H29*E29</f>
        <v>81000</v>
      </c>
    </row>
    <row r="30" spans="1:9" x14ac:dyDescent="0.3">
      <c r="A30" s="115"/>
      <c r="B30" s="105"/>
      <c r="C30" s="121"/>
      <c r="D30" s="124"/>
      <c r="E30" s="105"/>
      <c r="F30" s="105"/>
      <c r="G30" s="105"/>
      <c r="H30" s="97"/>
      <c r="I30" s="118"/>
    </row>
    <row r="31" spans="1:9" x14ac:dyDescent="0.3">
      <c r="A31" s="115">
        <v>8</v>
      </c>
      <c r="B31" s="105" t="s">
        <v>86</v>
      </c>
      <c r="C31" s="121" t="s">
        <v>54</v>
      </c>
      <c r="D31" s="124"/>
      <c r="E31" s="105">
        <v>1</v>
      </c>
      <c r="F31" s="105" t="s">
        <v>49</v>
      </c>
      <c r="G31" s="105" t="s">
        <v>17</v>
      </c>
      <c r="H31" s="97">
        <v>40000</v>
      </c>
      <c r="I31" s="118">
        <f t="shared" si="7"/>
        <v>40000</v>
      </c>
    </row>
    <row r="32" spans="1:9" x14ac:dyDescent="0.3">
      <c r="A32" s="115"/>
      <c r="B32" s="105"/>
      <c r="C32" s="121"/>
      <c r="D32" s="124"/>
      <c r="E32" s="105"/>
      <c r="F32" s="105"/>
      <c r="G32" s="105"/>
      <c r="H32" s="97"/>
      <c r="I32" s="118"/>
    </row>
    <row r="33" spans="1:9" x14ac:dyDescent="0.3">
      <c r="A33" s="115">
        <v>9</v>
      </c>
      <c r="B33" s="99" t="s">
        <v>18</v>
      </c>
      <c r="C33" s="121" t="s">
        <v>50</v>
      </c>
      <c r="D33" s="124"/>
      <c r="E33" s="105">
        <v>1</v>
      </c>
      <c r="F33" s="105" t="s">
        <v>49</v>
      </c>
      <c r="G33" s="105"/>
      <c r="H33" s="97">
        <v>40000</v>
      </c>
      <c r="I33" s="118">
        <f>H33*E33</f>
        <v>40000</v>
      </c>
    </row>
    <row r="34" spans="1:9" x14ac:dyDescent="0.3">
      <c r="A34" s="115"/>
      <c r="B34" s="105"/>
      <c r="C34" s="121"/>
      <c r="D34" s="124"/>
      <c r="E34" s="105"/>
      <c r="F34" s="105"/>
      <c r="G34" s="105"/>
      <c r="H34" s="97"/>
      <c r="I34" s="118"/>
    </row>
    <row r="35" spans="1:9" x14ac:dyDescent="0.3">
      <c r="A35" s="115">
        <v>10</v>
      </c>
      <c r="B35" s="99" t="s">
        <v>18</v>
      </c>
      <c r="C35" s="100" t="s">
        <v>25</v>
      </c>
      <c r="D35" s="119"/>
      <c r="E35" s="120">
        <v>19</v>
      </c>
      <c r="F35" s="120" t="s">
        <v>26</v>
      </c>
      <c r="G35" s="102" t="s">
        <v>17</v>
      </c>
      <c r="H35" s="103">
        <v>3800</v>
      </c>
      <c r="I35" s="118">
        <f t="shared" ref="I35" si="8">H35*E35</f>
        <v>72200</v>
      </c>
    </row>
    <row r="36" spans="1:9" x14ac:dyDescent="0.3">
      <c r="A36" s="115"/>
      <c r="B36" s="99"/>
      <c r="C36" s="100"/>
      <c r="D36" s="119"/>
      <c r="E36" s="120"/>
      <c r="F36" s="120"/>
      <c r="G36" s="102"/>
      <c r="H36" s="103"/>
      <c r="I36" s="104"/>
    </row>
    <row r="37" spans="1:9" ht="15.75" customHeight="1" x14ac:dyDescent="0.3">
      <c r="A37" s="112"/>
      <c r="B37" s="125" t="s">
        <v>19</v>
      </c>
      <c r="C37" s="125" t="s">
        <v>20</v>
      </c>
      <c r="D37" s="125" t="s">
        <v>21</v>
      </c>
      <c r="E37" s="109"/>
      <c r="F37" s="126"/>
      <c r="G37" s="168" t="s">
        <v>39</v>
      </c>
      <c r="H37" s="126"/>
      <c r="I37" s="114">
        <f>SUM(I15:I36)</f>
        <v>934200</v>
      </c>
    </row>
    <row r="38" spans="1:9" x14ac:dyDescent="0.3">
      <c r="A38" s="112"/>
      <c r="B38" s="127">
        <v>46030</v>
      </c>
      <c r="C38" s="128" t="s">
        <v>126</v>
      </c>
      <c r="D38" s="128"/>
      <c r="E38" s="126"/>
      <c r="F38" s="126"/>
      <c r="G38" s="168"/>
      <c r="H38" s="126"/>
      <c r="I38" s="104"/>
    </row>
  </sheetData>
  <mergeCells count="3">
    <mergeCell ref="E13:G13"/>
    <mergeCell ref="G37:G38"/>
    <mergeCell ref="B1:C1"/>
  </mergeCells>
  <conditionalFormatting sqref="H3">
    <cfRule type="top10" dxfId="2" priority="1" rank="5"/>
    <cfRule type="top10" dxfId="1" priority="2" rank="7"/>
    <cfRule type="top10" dxfId="0" priority="3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3"/>
  <sheetViews>
    <sheetView workbookViewId="0">
      <selection activeCell="L7" sqref="L7"/>
    </sheetView>
  </sheetViews>
  <sheetFormatPr defaultRowHeight="14.4" x14ac:dyDescent="0.3"/>
  <cols>
    <col min="1" max="1" width="4.109375" customWidth="1"/>
    <col min="2" max="2" width="6" bestFit="1" customWidth="1"/>
    <col min="3" max="3" width="30.5546875" customWidth="1"/>
    <col min="4" max="4" width="16.33203125" customWidth="1"/>
    <col min="5" max="5" width="15.33203125" customWidth="1"/>
    <col min="6" max="6" width="18.6640625" customWidth="1"/>
    <col min="7" max="7" width="15.33203125" customWidth="1"/>
    <col min="8" max="8" width="14.109375" customWidth="1"/>
    <col min="9" max="9" width="12.44140625" bestFit="1" customWidth="1"/>
    <col min="10" max="11" width="11.109375" bestFit="1" customWidth="1"/>
    <col min="12" max="12" width="17.6640625" customWidth="1"/>
    <col min="13" max="13" width="3.88671875" bestFit="1" customWidth="1"/>
    <col min="14" max="14" width="20.88671875" customWidth="1"/>
    <col min="15" max="15" width="13.109375" bestFit="1" customWidth="1"/>
  </cols>
  <sheetData>
    <row r="2" spans="2:16" x14ac:dyDescent="0.3">
      <c r="L2" s="16"/>
      <c r="M2" s="16"/>
    </row>
    <row r="3" spans="2:16" ht="17.399999999999999" x14ac:dyDescent="0.3">
      <c r="B3" s="173" t="s">
        <v>27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81"/>
    </row>
    <row r="4" spans="2:16" ht="18.899999999999999" customHeight="1" x14ac:dyDescent="0.3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81"/>
      <c r="N4" s="15"/>
    </row>
    <row r="5" spans="2:16" s="25" customFormat="1" ht="20.399999999999999" customHeight="1" x14ac:dyDescent="0.3">
      <c r="B5" s="19" t="s">
        <v>2</v>
      </c>
      <c r="C5" s="19" t="s">
        <v>28</v>
      </c>
      <c r="D5" s="175" t="s">
        <v>37</v>
      </c>
      <c r="E5" s="176"/>
      <c r="F5" s="175" t="s">
        <v>29</v>
      </c>
      <c r="G5" s="176"/>
      <c r="H5" s="175" t="s">
        <v>30</v>
      </c>
      <c r="I5" s="176"/>
      <c r="J5" s="19" t="s">
        <v>91</v>
      </c>
      <c r="K5" s="19" t="s">
        <v>92</v>
      </c>
      <c r="L5" s="170" t="s">
        <v>93</v>
      </c>
      <c r="M5" s="170" t="s">
        <v>31</v>
      </c>
      <c r="N5" s="170" t="s">
        <v>94</v>
      </c>
      <c r="O5" s="80"/>
    </row>
    <row r="6" spans="2:16" s="25" customFormat="1" ht="20.399999999999999" customHeight="1" x14ac:dyDescent="0.3">
      <c r="B6" s="19"/>
      <c r="C6" s="91">
        <v>1.8</v>
      </c>
      <c r="D6" s="19" t="s">
        <v>89</v>
      </c>
      <c r="E6" s="19" t="s">
        <v>90</v>
      </c>
      <c r="F6" s="19" t="s">
        <v>89</v>
      </c>
      <c r="G6" s="19" t="s">
        <v>90</v>
      </c>
      <c r="H6" s="19" t="s">
        <v>89</v>
      </c>
      <c r="I6" s="19" t="s">
        <v>90</v>
      </c>
      <c r="J6" s="90">
        <v>0.05</v>
      </c>
      <c r="K6" s="90">
        <v>0.05</v>
      </c>
      <c r="L6" s="171"/>
      <c r="M6" s="171"/>
      <c r="N6" s="171"/>
      <c r="O6" s="80"/>
    </row>
    <row r="7" spans="2:16" s="25" customFormat="1" ht="15.6" x14ac:dyDescent="0.3">
      <c r="B7" s="18">
        <v>1</v>
      </c>
      <c r="C7" s="78" t="s">
        <v>121</v>
      </c>
      <c r="D7" s="21">
        <f>'VLPH-70T'!J19</f>
        <v>147200</v>
      </c>
      <c r="E7" s="22">
        <f>D7*C6</f>
        <v>264960</v>
      </c>
      <c r="F7" s="22">
        <f>'VLPH-70T'!J43</f>
        <v>1035000</v>
      </c>
      <c r="G7" s="23">
        <f>F7*C6</f>
        <v>1863000</v>
      </c>
      <c r="H7" s="23">
        <f>F7+D7</f>
        <v>1182200</v>
      </c>
      <c r="I7" s="23">
        <f>E7+G7</f>
        <v>2127960</v>
      </c>
      <c r="J7" s="92">
        <f>I7*$J$6</f>
        <v>106398</v>
      </c>
      <c r="K7" s="92">
        <f>I7*$K$6</f>
        <v>106398</v>
      </c>
      <c r="L7" s="93">
        <f>ROUND(SUM(I7:K7),-3)</f>
        <v>2341000</v>
      </c>
      <c r="M7" s="20">
        <v>2</v>
      </c>
      <c r="N7" s="93">
        <f>M7*L7</f>
        <v>4682000</v>
      </c>
      <c r="O7" s="80">
        <f>ROUND(N7,-4)</f>
        <v>4680000</v>
      </c>
      <c r="P7" s="25">
        <f>O7/M7</f>
        <v>2340000</v>
      </c>
    </row>
    <row r="8" spans="2:16" s="25" customFormat="1" ht="15.6" x14ac:dyDescent="0.3">
      <c r="B8" s="18">
        <v>2</v>
      </c>
      <c r="C8" s="78" t="s">
        <v>122</v>
      </c>
      <c r="D8" s="96">
        <f>'HLPH - 70T'!J19</f>
        <v>147200</v>
      </c>
      <c r="E8" s="22">
        <f t="shared" ref="E8" si="0">D8*$C$6</f>
        <v>264960</v>
      </c>
      <c r="F8" s="96">
        <f>'HLPH - 70T'!J43</f>
        <v>1045000</v>
      </c>
      <c r="G8" s="23">
        <f>G7</f>
        <v>1863000</v>
      </c>
      <c r="H8" s="23">
        <f t="shared" ref="H8" si="1">F8+D8</f>
        <v>1192200</v>
      </c>
      <c r="I8" s="23">
        <f t="shared" ref="I8" si="2">G8+E8</f>
        <v>2127960</v>
      </c>
      <c r="J8" s="92">
        <f>I8*$J$6</f>
        <v>106398</v>
      </c>
      <c r="K8" s="92">
        <f t="shared" ref="K8:K9" si="3">I8*$K$6</f>
        <v>106398</v>
      </c>
      <c r="L8" s="93">
        <f t="shared" ref="L8:L9" si="4">ROUND(SUM(I8:K8),-3)</f>
        <v>2341000</v>
      </c>
      <c r="M8" s="20">
        <v>1</v>
      </c>
      <c r="N8" s="93">
        <f t="shared" ref="N8:N9" si="5">M8*L8</f>
        <v>2341000</v>
      </c>
      <c r="O8" s="80">
        <f t="shared" ref="O8:O9" si="6">ROUND(N8,-4)</f>
        <v>2340000</v>
      </c>
    </row>
    <row r="9" spans="2:16" s="25" customFormat="1" ht="15.6" x14ac:dyDescent="0.3">
      <c r="B9" s="18">
        <v>3</v>
      </c>
      <c r="C9" s="156" t="s">
        <v>123</v>
      </c>
      <c r="D9" s="21">
        <f>'HM-VLPH-40T'!I13</f>
        <v>147200</v>
      </c>
      <c r="E9" s="22">
        <f>D9*$C$6</f>
        <v>264960</v>
      </c>
      <c r="F9" s="22">
        <f>'HM-VLPH-40T'!I37</f>
        <v>934200</v>
      </c>
      <c r="G9" s="23">
        <f>F9*C6</f>
        <v>1681560</v>
      </c>
      <c r="H9" s="23">
        <f>F9+D9</f>
        <v>1081400</v>
      </c>
      <c r="I9" s="23">
        <f>E9+G9</f>
        <v>1946520</v>
      </c>
      <c r="J9" s="92">
        <f>I9*$J$6</f>
        <v>97326</v>
      </c>
      <c r="K9" s="92">
        <f t="shared" si="3"/>
        <v>97326</v>
      </c>
      <c r="L9" s="93">
        <f t="shared" si="4"/>
        <v>2141000</v>
      </c>
      <c r="M9" s="20">
        <v>1</v>
      </c>
      <c r="N9" s="93">
        <f t="shared" si="5"/>
        <v>2141000</v>
      </c>
      <c r="O9" s="80">
        <f t="shared" si="6"/>
        <v>2140000</v>
      </c>
    </row>
    <row r="10" spans="2:16" ht="16.350000000000001" customHeight="1" x14ac:dyDescent="0.3">
      <c r="C10" s="26"/>
      <c r="D10" s="26"/>
      <c r="E10" s="27"/>
      <c r="F10" s="27"/>
      <c r="G10" s="27"/>
      <c r="H10" s="27"/>
      <c r="L10" s="172" t="s">
        <v>10</v>
      </c>
      <c r="M10" s="172"/>
      <c r="N10" s="94">
        <f>SUM(N7:N9)</f>
        <v>9164000</v>
      </c>
      <c r="O10" s="80">
        <f>SUM(O7:O9)</f>
        <v>9160000</v>
      </c>
    </row>
    <row r="11" spans="2:16" ht="16.649999999999999" customHeight="1" x14ac:dyDescent="0.3">
      <c r="C11" s="26"/>
      <c r="D11" s="26"/>
      <c r="E11" s="27"/>
      <c r="F11" s="27"/>
      <c r="G11" s="27"/>
      <c r="H11" s="27"/>
      <c r="O11" s="80"/>
    </row>
    <row r="12" spans="2:16" x14ac:dyDescent="0.3">
      <c r="D12" s="28"/>
      <c r="E12" s="29"/>
      <c r="F12" s="29"/>
    </row>
    <row r="13" spans="2:16" ht="15.6" x14ac:dyDescent="0.3">
      <c r="G13" s="30"/>
      <c r="H13" s="30"/>
      <c r="I13" s="26"/>
      <c r="J13" s="26"/>
      <c r="K13" s="26"/>
      <c r="L13" s="30"/>
      <c r="M13" s="30"/>
    </row>
  </sheetData>
  <mergeCells count="8">
    <mergeCell ref="N5:N6"/>
    <mergeCell ref="L10:M10"/>
    <mergeCell ref="B3:L4"/>
    <mergeCell ref="D5:E5"/>
    <mergeCell ref="F5:G5"/>
    <mergeCell ref="H5:I5"/>
    <mergeCell ref="M5:M6"/>
    <mergeCell ref="L5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Calculation</vt:lpstr>
      <vt:lpstr>VLPH-70T</vt:lpstr>
      <vt:lpstr>HLPH - 70T</vt:lpstr>
      <vt:lpstr>HM-VLPH-40T</vt:lpstr>
      <vt:lpstr>Cost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Jagdeep Singh</dc:creator>
  <cp:lastModifiedBy>Rupanjana Mitra</cp:lastModifiedBy>
  <cp:lastPrinted>2023-06-22T21:57:26Z</cp:lastPrinted>
  <dcterms:created xsi:type="dcterms:W3CDTF">2022-06-14T10:35:34Z</dcterms:created>
  <dcterms:modified xsi:type="dcterms:W3CDTF">2026-02-04T09:43:25Z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2023-06-22T10:37:20Z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f8ee6613-2745-4312-bcd4-86b11044bc5c</vt:lpwstr>
  </property>
  <property fmtid="{D5CDD505-2E9C-101B-9397-08002B2CF9AE}" pid="7" name="MSIP_Label_defa4170-0d19-0005-0004-bc88714345d2_ActionId">
    <vt:lpwstr>a5d306a9-680c-41ce-91c4-2043bce9f4c6</vt:lpwstr>
  </property>
  <property fmtid="{D5CDD505-2E9C-101B-9397-08002B2CF9AE}" pid="8" name="MSIP_Label_defa4170-0d19-0005-0004-bc88714345d2_ContentBits">
    <vt:lpwstr>0</vt:lpwstr>
  </property>
</Properties>
</file>